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elip\OneDrive - UNIVERSIDAD DE CUNDINAMARCA\FRP\"/>
    </mc:Choice>
  </mc:AlternateContent>
  <xr:revisionPtr revIDLastSave="0" documentId="13_ncr:1_{20ECCE44-8FB5-48B3-8570-6C22B991B1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puestas de formulario 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</calcChain>
</file>

<file path=xl/sharedStrings.xml><?xml version="1.0" encoding="utf-8"?>
<sst xmlns="http://schemas.openxmlformats.org/spreadsheetml/2006/main" count="3572" uniqueCount="464">
  <si>
    <t>Dirección de correo electrónico</t>
  </si>
  <si>
    <t>Nombre completo</t>
  </si>
  <si>
    <t>Edad</t>
  </si>
  <si>
    <t>Sexo</t>
  </si>
  <si>
    <t>Estrato</t>
  </si>
  <si>
    <t>Nivel académico</t>
  </si>
  <si>
    <t>Nombre completo de su hija/o</t>
  </si>
  <si>
    <t>Número de documento de su hijo/a</t>
  </si>
  <si>
    <t>Colegio</t>
  </si>
  <si>
    <t>Grado que cursa</t>
  </si>
  <si>
    <t>Acepto participar</t>
  </si>
  <si>
    <t>El único momento en el que estoy seguro/a de que mi hijo/a me quiere es cuando me está sonriendo</t>
  </si>
  <si>
    <t>Siempre sé lo que mi hijo/a quiere</t>
  </si>
  <si>
    <t>Me gusta pensar sobre las razones que hay detrás de la forma en la que se comporta y se siente mi hijo/a</t>
  </si>
  <si>
    <t>Mi hijo/a es difícil cuando hay desconocidos para avergonzarme</t>
  </si>
  <si>
    <t>Puedo “adivinar el pensamiento” de mi hijo/a totalmente</t>
  </si>
  <si>
    <t>Me pregunto muy a menudo sobre lo que mi hijo/a está pensando o sintiendo</t>
  </si>
  <si>
    <t>Me resulta difícil participar activamente en juegos simbólicos/imaginarios con mi hijo/a</t>
  </si>
  <si>
    <t>Siempre puedo predecir lo que hará mi hijo/a</t>
  </si>
  <si>
    <t>A menudo, siento curiosidad por conocer cómo se siente mi hijo/a.</t>
  </si>
  <si>
    <t>A veces mi hijo/a se pone enfermo para impedir que yo haga lo que quiero hacer</t>
  </si>
  <si>
    <t>A veces, puedo malinterpretar las reacciones de mi hijo/a</t>
  </si>
  <si>
    <t>Intento ver las situaciones desde la perspectiva de mi hijo/a</t>
  </si>
  <si>
    <t>Cuando mi hija/hijo está malhumorado lo hace sólo para molestarme</t>
  </si>
  <si>
    <t>Siempre sé la razón de por qué hago lo que hago con mi hijo/a</t>
  </si>
  <si>
    <t>Intento entender las razones por las que mi hijo/a se porta mal</t>
  </si>
  <si>
    <t>A menudo, el comportamiento de mi hijo/a es demasiado confuso como para preocuparme por entenderlo</t>
  </si>
  <si>
    <t>Siempre sé por qué mi hijo/a actúa de la forma en la que lo hace</t>
  </si>
  <si>
    <t>Creo que no tiene sentido intentar adivinar lo que siente mi hijo/a</t>
  </si>
  <si>
    <t>luzmaestrada1307@gmail.com</t>
  </si>
  <si>
    <t xml:space="preserve">Luz María Estrada Cerpa </t>
  </si>
  <si>
    <t xml:space="preserve">55 años </t>
  </si>
  <si>
    <t>Femenino</t>
  </si>
  <si>
    <t>Secundaria</t>
  </si>
  <si>
    <t xml:space="preserve">Carlos Alberto Fajardo Estrada </t>
  </si>
  <si>
    <t>Dios es amor (CDA)</t>
  </si>
  <si>
    <t>9°a</t>
  </si>
  <si>
    <t>Sí</t>
  </si>
  <si>
    <t>En desacuerdo</t>
  </si>
  <si>
    <t>De acuerdo</t>
  </si>
  <si>
    <t>Muy en desacuerdo</t>
  </si>
  <si>
    <t>Bastante en desacuerdo</t>
  </si>
  <si>
    <t>Ni desacuerdo ni acuerdo</t>
  </si>
  <si>
    <t>lisanaberriosimarra@gmail.com</t>
  </si>
  <si>
    <t xml:space="preserve">Lisana Berrío Simarra </t>
  </si>
  <si>
    <t>39 años</t>
  </si>
  <si>
    <t>Posgrado</t>
  </si>
  <si>
    <t>Yorgelis Sofía Mestre Berrio</t>
  </si>
  <si>
    <t xml:space="preserve">Dios es Amor </t>
  </si>
  <si>
    <t>Bastante de acuerdo</t>
  </si>
  <si>
    <t>matiaschico999@gmail.com</t>
  </si>
  <si>
    <t xml:space="preserve">Dorca ester castro sierra </t>
  </si>
  <si>
    <t>Dorca ester castro sierra</t>
  </si>
  <si>
    <t xml:space="preserve">Colegio Dios es amor sede Cartagena </t>
  </si>
  <si>
    <t>alexandra.olmos.2903@gmail.com</t>
  </si>
  <si>
    <t xml:space="preserve">Alexandra Olmos trespalacio </t>
  </si>
  <si>
    <t>47 años</t>
  </si>
  <si>
    <t xml:space="preserve">Samuel corrales olmos </t>
  </si>
  <si>
    <t>Dios es amor</t>
  </si>
  <si>
    <t xml:space="preserve">Octavo </t>
  </si>
  <si>
    <t>Muy de acuerdo</t>
  </si>
  <si>
    <t>yezugu8@gmail.com</t>
  </si>
  <si>
    <t xml:space="preserve">Yesmin Zurita Gutierrez </t>
  </si>
  <si>
    <t>Pregrado</t>
  </si>
  <si>
    <t xml:space="preserve">Wilton Santiago Osorio Ricardo </t>
  </si>
  <si>
    <t>CDA</t>
  </si>
  <si>
    <t>guerramilagro6@gmail.com</t>
  </si>
  <si>
    <t xml:space="preserve">Milagro José Guerra Castilla </t>
  </si>
  <si>
    <t xml:space="preserve">Jesús Daniel Bejarano Guerra </t>
  </si>
  <si>
    <t>Colegio Díos es Amor (CDA)</t>
  </si>
  <si>
    <t>8b</t>
  </si>
  <si>
    <t>alfonso.poilao@rentokil-initial.com</t>
  </si>
  <si>
    <t>Marlyn Nohemy Muñiz Arnedo</t>
  </si>
  <si>
    <t xml:space="preserve">46 años </t>
  </si>
  <si>
    <t>Matias Poilao Muñiz</t>
  </si>
  <si>
    <t xml:space="preserve">Dios es amor  Cartagena </t>
  </si>
  <si>
    <t>octavo</t>
  </si>
  <si>
    <t>yinelabriana@gmail.com</t>
  </si>
  <si>
    <t xml:space="preserve">Yinela herrera </t>
  </si>
  <si>
    <t>Briana ospino herrera</t>
  </si>
  <si>
    <t>8B</t>
  </si>
  <si>
    <t>No</t>
  </si>
  <si>
    <t>yirlispaolaf@gmail.com</t>
  </si>
  <si>
    <t xml:space="preserve">Yirlis paola franco Ortega </t>
  </si>
  <si>
    <t xml:space="preserve">Jhon brayan ahumada franco </t>
  </si>
  <si>
    <t xml:space="preserve">Dios es amor </t>
  </si>
  <si>
    <t>jande1254@gmail.com</t>
  </si>
  <si>
    <t xml:space="preserve">Elizabeth correa conquett </t>
  </si>
  <si>
    <t>Juel sebastian theran correa</t>
  </si>
  <si>
    <t>osirisramires1980@gmail.com</t>
  </si>
  <si>
    <t xml:space="preserve">Osiris Ramirez Arenilla </t>
  </si>
  <si>
    <t xml:space="preserve">45 años </t>
  </si>
  <si>
    <t xml:space="preserve">Elizabeth González Ramírez </t>
  </si>
  <si>
    <t xml:space="preserve">Colegio Díos es Amor Cartagena </t>
  </si>
  <si>
    <t>geneynose12@gmail.com</t>
  </si>
  <si>
    <t xml:space="preserve">Genei karimen Gonzalez Verona </t>
  </si>
  <si>
    <t xml:space="preserve">Samuel David Martínez Gonzalez </t>
  </si>
  <si>
    <t>8°</t>
  </si>
  <si>
    <t>am9819337@gmail.com</t>
  </si>
  <si>
    <t xml:space="preserve">Andrea cabarcas </t>
  </si>
  <si>
    <t xml:space="preserve">Mateo yanguez cabarcas </t>
  </si>
  <si>
    <t>11A</t>
  </si>
  <si>
    <t>baenaelmer@gmail.com</t>
  </si>
  <si>
    <t xml:space="preserve">Ermes Baena Ortega </t>
  </si>
  <si>
    <t>Masculino</t>
  </si>
  <si>
    <t xml:space="preserve">Elmer David Baena Pauth </t>
  </si>
  <si>
    <t xml:space="preserve">CDA dios es amor </t>
  </si>
  <si>
    <t>8vo</t>
  </si>
  <si>
    <t>kettysmontes@gmail.com</t>
  </si>
  <si>
    <t xml:space="preserve">Ketty Montes Villadiego </t>
  </si>
  <si>
    <t xml:space="preserve">Silvana Semacarit Montes </t>
  </si>
  <si>
    <t>Colegio Díos es Amor</t>
  </si>
  <si>
    <t>Octavo A</t>
  </si>
  <si>
    <t>agamezana2014@gmail.com</t>
  </si>
  <si>
    <t>Ana Milena Agamez Diaz</t>
  </si>
  <si>
    <t>Jadeth Milen Cañate Agamez</t>
  </si>
  <si>
    <t>CDA CARTAGUENA DE INDIA</t>
  </si>
  <si>
    <t>9B</t>
  </si>
  <si>
    <t>riossepulvedaines52@gmail.com</t>
  </si>
  <si>
    <t xml:space="preserve">Inés Sepúlveda Rios </t>
  </si>
  <si>
    <t xml:space="preserve">Andrés Mauricio Medrano Sepúlveda </t>
  </si>
  <si>
    <t>Dios es Amor</t>
  </si>
  <si>
    <t>Octavo B</t>
  </si>
  <si>
    <t>lopez.sindy@cdaeducacion.edu.co</t>
  </si>
  <si>
    <t>Sindy Lopez Agamez</t>
  </si>
  <si>
    <t>Luis Fernando Elles Reyes</t>
  </si>
  <si>
    <t>Colegio Dios es Amor</t>
  </si>
  <si>
    <t>ycanabalpolo@gmail.com</t>
  </si>
  <si>
    <t xml:space="preserve">Yohanis Canabal Polo </t>
  </si>
  <si>
    <t xml:space="preserve">Luis Alejandro Gonzalez Canabal </t>
  </si>
  <si>
    <t>8A</t>
  </si>
  <si>
    <t>simancadiana6@gmail.com</t>
  </si>
  <si>
    <t>Diana Marcela Simanca Pastrana</t>
  </si>
  <si>
    <t xml:space="preserve">35 años </t>
  </si>
  <si>
    <t xml:space="preserve">Diego Algarin Simanca </t>
  </si>
  <si>
    <t xml:space="preserve">8B </t>
  </si>
  <si>
    <t>kellymas.1234@gmail.com</t>
  </si>
  <si>
    <t xml:space="preserve">Kelly María Acuña Menco </t>
  </si>
  <si>
    <t xml:space="preserve">Santiago león Acuña </t>
  </si>
  <si>
    <t>ingdeimerherrera@gmail.com</t>
  </si>
  <si>
    <t xml:space="preserve">Sugey Mendez Guerra </t>
  </si>
  <si>
    <t xml:space="preserve">39 años </t>
  </si>
  <si>
    <t xml:space="preserve">Taliana Sierra Mendez </t>
  </si>
  <si>
    <t>eldismartinez096@gmail.com</t>
  </si>
  <si>
    <t xml:space="preserve">ELDIS Martinez </t>
  </si>
  <si>
    <t xml:space="preserve">Matías Peñaloza </t>
  </si>
  <si>
    <t>anacarmelalopezpadilla1@gmail.com</t>
  </si>
  <si>
    <t xml:space="preserve">Ana Carmela López Padilla </t>
  </si>
  <si>
    <t xml:space="preserve">Nelsy Sofía Rodríguez López </t>
  </si>
  <si>
    <t xml:space="preserve">Dios es amor, CDA Cartagena </t>
  </si>
  <si>
    <t>tecno.psicologia@gmail.com</t>
  </si>
  <si>
    <t>Lesli Forero</t>
  </si>
  <si>
    <t xml:space="preserve">Emmanuel Robinson Forero </t>
  </si>
  <si>
    <t>irisdelcarmen1211@gmail.com</t>
  </si>
  <si>
    <t>Iris del Carmen guerrero liñan</t>
  </si>
  <si>
    <t>Primaria</t>
  </si>
  <si>
    <t xml:space="preserve">Lionel Eduardo Vargas Guerrero </t>
  </si>
  <si>
    <t xml:space="preserve">CDA, VILLA ESTRELLA </t>
  </si>
  <si>
    <t>8,A</t>
  </si>
  <si>
    <t>anacarolinacantillonavarro@gmail.com</t>
  </si>
  <si>
    <t xml:space="preserve">Ana Cantillo </t>
  </si>
  <si>
    <t xml:space="preserve">Roni Atencia </t>
  </si>
  <si>
    <t>Conviventia</t>
  </si>
  <si>
    <t>dianapatriciadeoroarevalo@gmail.com</t>
  </si>
  <si>
    <t>Diana Patricia Arévalo de oro</t>
  </si>
  <si>
    <t>Holman Rafael Baloco arevalo</t>
  </si>
  <si>
    <t>meyopodis25@gmail.com</t>
  </si>
  <si>
    <t>Meydis polo Diaz</t>
  </si>
  <si>
    <t>44 años</t>
  </si>
  <si>
    <t>Daniel Marrugo Polo</t>
  </si>
  <si>
    <t>anibalinaresxd@gmail.com</t>
  </si>
  <si>
    <t xml:space="preserve">Arlenys Linares </t>
  </si>
  <si>
    <t xml:space="preserve">Armando Merchan Linares </t>
  </si>
  <si>
    <t>benavidespolancocarmer@gmail.com</t>
  </si>
  <si>
    <t xml:space="preserve">Carmen Benavides Polanco </t>
  </si>
  <si>
    <t xml:space="preserve">41 años </t>
  </si>
  <si>
    <t xml:space="preserve">Robin Acuña Benavides </t>
  </si>
  <si>
    <t xml:space="preserve">Conviventia  </t>
  </si>
  <si>
    <t xml:space="preserve">Noveno </t>
  </si>
  <si>
    <t>sammybs1464@gmail.com</t>
  </si>
  <si>
    <t xml:space="preserve">Andrea Carolina Salas Villalva </t>
  </si>
  <si>
    <t xml:space="preserve">Dian Samuel Buelvas salas </t>
  </si>
  <si>
    <t xml:space="preserve">Colegio Dios es amor </t>
  </si>
  <si>
    <t>Octavo</t>
  </si>
  <si>
    <t>carogomezmarquer@gmail.com</t>
  </si>
  <si>
    <t xml:space="preserve">Carolina Gómez Márquez </t>
  </si>
  <si>
    <t xml:space="preserve">Juan David Babilonia Gómez </t>
  </si>
  <si>
    <t xml:space="preserve">CDA colegio Dios es amor </t>
  </si>
  <si>
    <t>adribrato@gmail.com</t>
  </si>
  <si>
    <t xml:space="preserve">Adriana Bravo Torres </t>
  </si>
  <si>
    <t xml:space="preserve">David Matías Gómez Bravo </t>
  </si>
  <si>
    <t>CDA. Dios es Amor</t>
  </si>
  <si>
    <t>misujulioque@gmail.com</t>
  </si>
  <si>
    <t xml:space="preserve">Misuri julio Quessep </t>
  </si>
  <si>
    <t xml:space="preserve">Keliana Valeria Julio quessep </t>
  </si>
  <si>
    <t xml:space="preserve">Díos es amor </t>
  </si>
  <si>
    <t>yisethbenitez2122@gmail.com</t>
  </si>
  <si>
    <t xml:space="preserve">Giset Benitez Florez </t>
  </si>
  <si>
    <t xml:space="preserve">Yitsibell Aragón Benítez </t>
  </si>
  <si>
    <t xml:space="preserve">CDA Cartagena </t>
  </si>
  <si>
    <t>linaivanna2601@gmail.com</t>
  </si>
  <si>
    <t xml:space="preserve">Carolina Sofia Jiménez Carbal </t>
  </si>
  <si>
    <t xml:space="preserve">Lina María Moreno Jiménez </t>
  </si>
  <si>
    <t>erikataborda8327@gmail.com</t>
  </si>
  <si>
    <t>Erika Liliana Taborda Avendaño</t>
  </si>
  <si>
    <t xml:space="preserve">Sebastian rueda taborda </t>
  </si>
  <si>
    <t>moralesmartineznancy402@gmail.com</t>
  </si>
  <si>
    <t xml:space="preserve">Nancy Morales Martinez </t>
  </si>
  <si>
    <t xml:space="preserve">Sheila Andrea Ortega Morales </t>
  </si>
  <si>
    <t>Octavo a</t>
  </si>
  <si>
    <t>joczulyc@gmail.com</t>
  </si>
  <si>
    <t xml:space="preserve">Joczuly camargo </t>
  </si>
  <si>
    <t xml:space="preserve">Maikel martinez </t>
  </si>
  <si>
    <t xml:space="preserve">Cda </t>
  </si>
  <si>
    <t>valbaestefania@gmail.com</t>
  </si>
  <si>
    <t>Alba Villalba lugo</t>
  </si>
  <si>
    <t>Jahdiel gonzalez</t>
  </si>
  <si>
    <t>Dios es amor CDA</t>
  </si>
  <si>
    <t>9A</t>
  </si>
  <si>
    <t>adelsisalvaradoherrera@gmail.com</t>
  </si>
  <si>
    <t xml:space="preserve">Adelsis Josefina Alvarado Herrera </t>
  </si>
  <si>
    <t xml:space="preserve">Stevens Marrugo Alvarado </t>
  </si>
  <si>
    <t xml:space="preserve">Starlins adewil Marrugo Alvarado </t>
  </si>
  <si>
    <t xml:space="preserve">Sexto </t>
  </si>
  <si>
    <t>chiquillomarlis@gmail.com</t>
  </si>
  <si>
    <t xml:space="preserve">Northi GAVIRIA Jiménez </t>
  </si>
  <si>
    <t xml:space="preserve">Samuel Gaviria CHiquillo </t>
  </si>
  <si>
    <t>8 grado</t>
  </si>
  <si>
    <t>yoisjulio93@gmail.com</t>
  </si>
  <si>
    <t xml:space="preserve">Yoais julio Blanco </t>
  </si>
  <si>
    <t>Sin estudios formales</t>
  </si>
  <si>
    <t xml:space="preserve">Sheilyn margarita tuñon julio </t>
  </si>
  <si>
    <t xml:space="preserve"> Colegio Dios es amor </t>
  </si>
  <si>
    <t>docente.edufisica.ctg@cdaeducacion.edu.co</t>
  </si>
  <si>
    <t xml:space="preserve">Ivonne Elaine González Mendoza </t>
  </si>
  <si>
    <t xml:space="preserve">Daniel Alejandro López González </t>
  </si>
  <si>
    <t>9-B</t>
  </si>
  <si>
    <t>qselizabeth098@gmail.com</t>
  </si>
  <si>
    <t xml:space="preserve">Elizabeth quintero salazar </t>
  </si>
  <si>
    <t xml:space="preserve">yerson steven niño quintero </t>
  </si>
  <si>
    <t xml:space="preserve">octavo </t>
  </si>
  <si>
    <t>kelly.molina.a01@gmail.com</t>
  </si>
  <si>
    <t xml:space="preserve">Kelly Astrid Molina Alían </t>
  </si>
  <si>
    <t xml:space="preserve">Mathias llanos molina llanos molina </t>
  </si>
  <si>
    <t>vivianavillegas64@gmail.com</t>
  </si>
  <si>
    <t>Viviana Villegas Vásquez</t>
  </si>
  <si>
    <t>Leidis Guillen Romero</t>
  </si>
  <si>
    <t>ferrerfrancis144@gmail.com</t>
  </si>
  <si>
    <t xml:space="preserve">Francis josefina Ferrer Astudillo </t>
  </si>
  <si>
    <t xml:space="preserve">Mayerlin carolina Pérez Ferrer </t>
  </si>
  <si>
    <t xml:space="preserve">DIOS ES AMOR </t>
  </si>
  <si>
    <t>demaryx2@gmail.com</t>
  </si>
  <si>
    <t>Dennys Barrios Ospino</t>
  </si>
  <si>
    <t>Sebastian Tovar Barrios</t>
  </si>
  <si>
    <t>Colegio Dios es amor</t>
  </si>
  <si>
    <t>mercedesolaya165@gmail.com</t>
  </si>
  <si>
    <t xml:space="preserve">Mercedes Olaya ramirez </t>
  </si>
  <si>
    <t>Erick Santiago olaya</t>
  </si>
  <si>
    <t xml:space="preserve">CDA </t>
  </si>
  <si>
    <t xml:space="preserve">9B </t>
  </si>
  <si>
    <t xml:space="preserve">Dennys Barrios Ospino </t>
  </si>
  <si>
    <t>Janna Valentina Tovar Barrios</t>
  </si>
  <si>
    <t>4b</t>
  </si>
  <si>
    <t>jennifer.gaitan.cediel@gmail.com</t>
  </si>
  <si>
    <t>Jennifer Gaitan</t>
  </si>
  <si>
    <t>Maximiliano Puello Gaitan</t>
  </si>
  <si>
    <t>CDA Dios es Amor</t>
  </si>
  <si>
    <t>santymateo35@gmail.com</t>
  </si>
  <si>
    <t>Maria Atencio</t>
  </si>
  <si>
    <t xml:space="preserve">Santiago Hernández Atencio </t>
  </si>
  <si>
    <t>Noveno</t>
  </si>
  <si>
    <t>anakperez0318@gmail.com</t>
  </si>
  <si>
    <t xml:space="preserve">Yuvisay Pérez </t>
  </si>
  <si>
    <t>valerynpontegomez17@gmail.com</t>
  </si>
  <si>
    <t>Yuris Gomez Cabarcas</t>
  </si>
  <si>
    <t>Juan andres ponte Gomes</t>
  </si>
  <si>
    <t>Bertaht Degedon de Balavis</t>
  </si>
  <si>
    <t>9.</t>
  </si>
  <si>
    <t>eufemiapena67@gmail.com</t>
  </si>
  <si>
    <t xml:space="preserve">Eufemia de Carmen Peña Beltrán </t>
  </si>
  <si>
    <t>Yeimi Andrea Martinez Peña</t>
  </si>
  <si>
    <t>Bertha Gedeón De Baladi</t>
  </si>
  <si>
    <t>9-03</t>
  </si>
  <si>
    <t>shailykatherine@gmail.com</t>
  </si>
  <si>
    <t xml:space="preserve">Katherine Paola Ávila Sánchez </t>
  </si>
  <si>
    <t xml:space="preserve">Shaily Johana Morante Avila </t>
  </si>
  <si>
    <t xml:space="preserve">Institución educativa Bertha Gedeón de baladi </t>
  </si>
  <si>
    <t>rubyromerorincon1@gmail.com</t>
  </si>
  <si>
    <t xml:space="preserve">Ruby romero </t>
  </si>
  <si>
    <t xml:space="preserve">Estefania Gonzalez Romero </t>
  </si>
  <si>
    <t xml:space="preserve">Bertha Gedeón de Baladí </t>
  </si>
  <si>
    <t>orlinaromeroballestero@gmail.com</t>
  </si>
  <si>
    <t>Orlina  del carmen. Romero Ballestero</t>
  </si>
  <si>
    <t>Stiven Yair Arcia  Romero</t>
  </si>
  <si>
    <t>1063158 910</t>
  </si>
  <si>
    <t xml:space="preserve">Bertha Gedeón de balady </t>
  </si>
  <si>
    <t>glenisgarciaclaro142@gmail.com</t>
  </si>
  <si>
    <t xml:space="preserve">Glenis García </t>
  </si>
  <si>
    <t>48 años</t>
  </si>
  <si>
    <t xml:space="preserve">Ángely de DIOS Matos García </t>
  </si>
  <si>
    <t>T.I 1142928875</t>
  </si>
  <si>
    <t>Bertha Gedeón de Baladi</t>
  </si>
  <si>
    <t>9°</t>
  </si>
  <si>
    <t>guerrerodiazleidy@gmail.com</t>
  </si>
  <si>
    <t>Leidy susy guerrero diaz</t>
  </si>
  <si>
    <t>52 sños</t>
  </si>
  <si>
    <t>Andrea carolina guerrero diaz</t>
  </si>
  <si>
    <t>Bertha Gedeon De Baladí</t>
  </si>
  <si>
    <t>9 03</t>
  </si>
  <si>
    <t>t92230764@gmail.com</t>
  </si>
  <si>
    <t xml:space="preserve">Mónica Pinto Zabaleta </t>
  </si>
  <si>
    <t xml:space="preserve">Taliana Barragán Pinto </t>
  </si>
  <si>
    <t xml:space="preserve">Bertha Gedeon de Baladi </t>
  </si>
  <si>
    <t>N_PAR</t>
  </si>
  <si>
    <t>SEX_1_M_2_F</t>
  </si>
  <si>
    <t>NON_HIJ</t>
  </si>
  <si>
    <t>N_PAR_HIJ</t>
  </si>
  <si>
    <t>ID_HIJ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</si>
  <si>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</si>
  <si>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</si>
  <si>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</si>
  <si>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</si>
  <si>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</si>
  <si>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</si>
  <si>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</si>
  <si>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</si>
  <si>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</si>
  <si>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</si>
  <si>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</si>
  <si>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</si>
  <si>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</si>
  <si>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</si>
  <si>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</si>
  <si>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</si>
  <si>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</si>
  <si>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</si>
  <si>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Columna1</t>
  </si>
  <si>
    <t>Columna2</t>
  </si>
  <si>
    <t xml:space="preserve">LUZ MARÍA ESTRADA CERPA </t>
  </si>
  <si>
    <t xml:space="preserve">CARLOS ALBERTO FAJARDO ESTRADA </t>
  </si>
  <si>
    <t xml:space="preserve">LISANA BERRÍO SIMARRA </t>
  </si>
  <si>
    <t>YORGELIS SOFÍA MESTRE BERRIO</t>
  </si>
  <si>
    <t xml:space="preserve">DORCA ESTER CASTRO SIERRA </t>
  </si>
  <si>
    <t>DORCA ESTER CASTRO SIERRA</t>
  </si>
  <si>
    <t xml:space="preserve">ALEXANDRA OLMOS TRESPALACIO </t>
  </si>
  <si>
    <t xml:space="preserve">SAMUEL CORRALES OLMOS </t>
  </si>
  <si>
    <t xml:space="preserve">YESMIN ZURITA GUTIERREZ </t>
  </si>
  <si>
    <t xml:space="preserve">WILTON SANTIAGO OSORIO RICARDO </t>
  </si>
  <si>
    <t xml:space="preserve">MILAGRO JOSÉ GUERRA CASTILLA </t>
  </si>
  <si>
    <t xml:space="preserve">JESÚS DANIEL BEJARANO GUERRA </t>
  </si>
  <si>
    <t>MARLYN NOHEMY MUÑIZ ARNEDO</t>
  </si>
  <si>
    <t>MATIAS POILAO MUÑIZ</t>
  </si>
  <si>
    <t xml:space="preserve">YINELA HERRERA </t>
  </si>
  <si>
    <t>BRIANA OSPINO HERRERA</t>
  </si>
  <si>
    <t xml:space="preserve">YIRLIS PAOLA FRANCO ORTEGA </t>
  </si>
  <si>
    <t xml:space="preserve">JHON BRAYAN AHUMADA FRANCO </t>
  </si>
  <si>
    <t xml:space="preserve">ELIZABETH CORREA CONQUETT </t>
  </si>
  <si>
    <t>JUEL SEBASTIAN THERAN CORREA</t>
  </si>
  <si>
    <t xml:space="preserve">OSIRIS RAMIREZ ARENILLA </t>
  </si>
  <si>
    <t xml:space="preserve">ELIZABETH GONZÁLEZ RAMÍREZ </t>
  </si>
  <si>
    <t xml:space="preserve">GENEI KARIMEN GONZALEZ VERONA </t>
  </si>
  <si>
    <t xml:space="preserve">SAMUEL DAVID MARTÍNEZ GONZALEZ </t>
  </si>
  <si>
    <t xml:space="preserve">ANDREA CABARCAS </t>
  </si>
  <si>
    <t xml:space="preserve">MATEO YANGUEZ CABARCAS </t>
  </si>
  <si>
    <t xml:space="preserve">ERMES BAENA ORTEGA </t>
  </si>
  <si>
    <t xml:space="preserve">ELMER DAVID BAENA PAUTH </t>
  </si>
  <si>
    <t xml:space="preserve">KETTY MONTES VILLADIEGO </t>
  </si>
  <si>
    <t xml:space="preserve">SILVANA SEMACARIT MONTES </t>
  </si>
  <si>
    <t>ANA MILENA AGAMEZ DIAZ</t>
  </si>
  <si>
    <t>JADETH MILEN CAÑATE AGAMEZ</t>
  </si>
  <si>
    <t xml:space="preserve">INÉS SEPÚLVEDA RIOS </t>
  </si>
  <si>
    <t xml:space="preserve">ANDRÉS MAURICIO MEDRANO SEPÚLVEDA </t>
  </si>
  <si>
    <t>SINDY LOPEZ AGAMEZ</t>
  </si>
  <si>
    <t>LUIS FERNANDO ELLES REYES</t>
  </si>
  <si>
    <t xml:space="preserve">YOHANIS CANABAL POLO </t>
  </si>
  <si>
    <t xml:space="preserve">LUIS ALEJANDRO GONZALEZ CANABAL </t>
  </si>
  <si>
    <t>DIANA MARCELA SIMANCA PASTRANA</t>
  </si>
  <si>
    <t xml:space="preserve">DIEGO ALGARIN SIMANCA </t>
  </si>
  <si>
    <t xml:space="preserve">KELLY MARÍA ACUÑA MENCO </t>
  </si>
  <si>
    <t xml:space="preserve">SANTIAGO LEÓN ACUÑA </t>
  </si>
  <si>
    <t xml:space="preserve">SUGEY MENDEZ GUERRA </t>
  </si>
  <si>
    <t xml:space="preserve">TALIANA SIERRA MENDEZ </t>
  </si>
  <si>
    <t xml:space="preserve">ELDIS MARTINEZ </t>
  </si>
  <si>
    <t xml:space="preserve">MATÍAS PEÑALOZA </t>
  </si>
  <si>
    <t xml:space="preserve">ANA CARMELA LÓPEZ PADILLA </t>
  </si>
  <si>
    <t xml:space="preserve">NELSY SOFÍA RODRÍGUEZ LÓPEZ </t>
  </si>
  <si>
    <t>LESLI FORERO</t>
  </si>
  <si>
    <t xml:space="preserve">EMMANUEL ROBINSON FORERO </t>
  </si>
  <si>
    <t>IRIS DEL CARMEN GUERRERO LIÑAN</t>
  </si>
  <si>
    <t xml:space="preserve">LIONEL EDUARDO VARGAS GUERRERO </t>
  </si>
  <si>
    <t xml:space="preserve">ANA CANTILLO </t>
  </si>
  <si>
    <t xml:space="preserve">RONI ATENCIA </t>
  </si>
  <si>
    <t>DIANA PATRICIA ARÉVALO DE ORO</t>
  </si>
  <si>
    <t>HOLMAN RAFAEL BALOCO AREVALO</t>
  </si>
  <si>
    <t>MEYDIS POLO DIAZ</t>
  </si>
  <si>
    <t>DANIEL MARRUGO POLO</t>
  </si>
  <si>
    <t xml:space="preserve">ARLENYS LINARES </t>
  </si>
  <si>
    <t xml:space="preserve">ARMANDO MERCHAN LINARES </t>
  </si>
  <si>
    <t xml:space="preserve">CARMEN BENAVIDES POLANCO </t>
  </si>
  <si>
    <t xml:space="preserve">ROBIN ACUÑA BENAVIDES </t>
  </si>
  <si>
    <t xml:space="preserve">ANDREA CAROLINA SALAS VILLALVA </t>
  </si>
  <si>
    <t xml:space="preserve">DIAN SAMUEL BUELVAS SALAS </t>
  </si>
  <si>
    <t xml:space="preserve">CAROLINA GÓMEZ MÁRQUEZ </t>
  </si>
  <si>
    <t xml:space="preserve">JUAN DAVID BABILONIA GÓMEZ </t>
  </si>
  <si>
    <t xml:space="preserve">ADRIANA BRAVO TORRES </t>
  </si>
  <si>
    <t xml:space="preserve">DAVID MATÍAS GÓMEZ BRAVO </t>
  </si>
  <si>
    <t xml:space="preserve">MISURI JULIO QUESSEP </t>
  </si>
  <si>
    <t xml:space="preserve">KELIANA VALERIA JULIO QUESSEP </t>
  </si>
  <si>
    <t xml:space="preserve">GISET BENITEZ FLOREZ </t>
  </si>
  <si>
    <t xml:space="preserve">YITSIBELL ARAGÓN BENÍTEZ </t>
  </si>
  <si>
    <t xml:space="preserve">CAROLINA SOFIA JIMÉNEZ CARBAL </t>
  </si>
  <si>
    <t xml:space="preserve">LINA MARÍA MORENO JIMÉNEZ </t>
  </si>
  <si>
    <t>ERIKA LILIANA TABORDA AVENDAÑO</t>
  </si>
  <si>
    <t xml:space="preserve">SEBASTIAN RUEDA TABORDA </t>
  </si>
  <si>
    <t xml:space="preserve">NANCY MORALES MARTINEZ </t>
  </si>
  <si>
    <t xml:space="preserve">SHEILA ANDREA ORTEGA MORALES </t>
  </si>
  <si>
    <t xml:space="preserve">JOCZULY CAMARGO </t>
  </si>
  <si>
    <t xml:space="preserve">MAIKEL MARTINEZ </t>
  </si>
  <si>
    <t>ALBA VILLALBA LUGO</t>
  </si>
  <si>
    <t>JAHDIEL GONZALEZ</t>
  </si>
  <si>
    <t xml:space="preserve">ADELSIS JOSEFINA ALVARADO HERRERA </t>
  </si>
  <si>
    <t xml:space="preserve">STEVENS MARRUGO ALVARADO </t>
  </si>
  <si>
    <t xml:space="preserve">STARLINS ADEWIL MARRUGO ALVARADO </t>
  </si>
  <si>
    <t xml:space="preserve">NORTHI GAVIRIA JIMÉNEZ </t>
  </si>
  <si>
    <t xml:space="preserve">SAMUEL GAVIRIA CHIQUILLO </t>
  </si>
  <si>
    <t xml:space="preserve">YOAIS JULIO BLANCO </t>
  </si>
  <si>
    <t xml:space="preserve">SHEILYN MARGARITA TUÑON JULIO </t>
  </si>
  <si>
    <t xml:space="preserve">IVONNE ELAINE GONZÁLEZ MENDOZA </t>
  </si>
  <si>
    <t xml:space="preserve">DANIEL ALEJANDRO LÓPEZ GONZÁLEZ </t>
  </si>
  <si>
    <t xml:space="preserve">ELIZABETH QUINTERO SALAZAR </t>
  </si>
  <si>
    <t xml:space="preserve">YERSON STEVEN NIÑO QUINTERO </t>
  </si>
  <si>
    <t xml:space="preserve">KELLY ASTRID MOLINA ALÍAN </t>
  </si>
  <si>
    <t xml:space="preserve">MATHIAS LLANOS MOLINA LLANOS MOLINA </t>
  </si>
  <si>
    <t>VIVIANA VILLEGAS VÁSQUEZ</t>
  </si>
  <si>
    <t>LEIDIS GUILLEN ROMERO</t>
  </si>
  <si>
    <t xml:space="preserve">FRANCIS JOSEFINA FERRER ASTUDILLO </t>
  </si>
  <si>
    <t xml:space="preserve">MAYERLIN CAROLINA PÉREZ FERRER </t>
  </si>
  <si>
    <t>DENNYS BARRIOS OSPINO</t>
  </si>
  <si>
    <t>SEBASTIAN TOVAR BARRIOS</t>
  </si>
  <si>
    <t xml:space="preserve">MERCEDES OLAYA RAMIREZ </t>
  </si>
  <si>
    <t>ERICK SANTIAGO OLAYA</t>
  </si>
  <si>
    <t xml:space="preserve">DENNYS BARRIOS OSPINO </t>
  </si>
  <si>
    <t>JANNA VALENTINA TOVAR BARRIOS</t>
  </si>
  <si>
    <t>JENNIFER GAITAN</t>
  </si>
  <si>
    <t>MAXIMILIANO PUELLO GAITAN</t>
  </si>
  <si>
    <t>MARIA ATENCIO</t>
  </si>
  <si>
    <t xml:space="preserve">SANTIAGO HERNÁNDEZ ATENCIO </t>
  </si>
  <si>
    <t xml:space="preserve">YUVISAY PÉREZ </t>
  </si>
  <si>
    <t>YURIS GOMEZ CABARCAS</t>
  </si>
  <si>
    <t>JUAN ANDRES PONTE GOMES</t>
  </si>
  <si>
    <t xml:space="preserve">EUFEMIA DE CARMEN PEÑA BELTRÁN </t>
  </si>
  <si>
    <t>YEIMI ANDREA MARTINEZ PEÑA</t>
  </si>
  <si>
    <t xml:space="preserve">KATHERINE PAOLA ÁVILA SÁNCHEZ </t>
  </si>
  <si>
    <t xml:space="preserve">SHAILY JOHANA MORANTE AVILA </t>
  </si>
  <si>
    <t xml:space="preserve">RUBY ROMERO </t>
  </si>
  <si>
    <t xml:space="preserve">ESTEFANIA GONZALEZ ROMERO </t>
  </si>
  <si>
    <t>ORLINA  DEL CARMEN. ROMERO BALLESTERO</t>
  </si>
  <si>
    <t>STIVEN YAIR ARCIA  ROMERO</t>
  </si>
  <si>
    <t xml:space="preserve">GLENIS GARCÍA </t>
  </si>
  <si>
    <t xml:space="preserve">ÁNGELY DE DIOS MATOS GARCÍA </t>
  </si>
  <si>
    <t>LEIDY SUSY GUERRERO DIAZ</t>
  </si>
  <si>
    <t>ANDREA CAROLINA GUERRERO DIAZ</t>
  </si>
  <si>
    <t xml:space="preserve">MÓNICA PINTO ZABALETA </t>
  </si>
  <si>
    <t xml:space="preserve">TALIANA BARRAGÁN PINTO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</si>
</sst>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2:AE66">
  <tableColumns count="31">
    <tableColumn id="2" xr3:uid="{00000000-0010-0000-0000-000002000000}" name="Dirección de correo electrónico"/>
    <tableColumn id="3" xr3:uid="{00000000-0010-0000-0000-000003000000}" name="Nombre completo"/>
    <tableColumn id="1" xr3:uid="{A1D65A7C-C4DF-4545-B6A4-11591BA45A71}" name="Columna1" dataDxfId="7">
      <calculatedColumnFormula>+UPPER(Form_Responses[[#This Row],[Nombre completo]])</calculatedColumnFormula>
    </tableColumn>
    <tableColumn id="4" xr3:uid="{00000000-0010-0000-0000-000004000000}" name="Edad"/>
    <tableColumn id="5" xr3:uid="{00000000-0010-0000-0000-000005000000}" name="Sexo"/>
    <tableColumn id="6" xr3:uid="{00000000-0010-0000-0000-000006000000}" name="Estrato"/>
    <tableColumn id="7" xr3:uid="{00000000-0010-0000-0000-000007000000}" name="Nivel académico"/>
    <tableColumn id="8" xr3:uid="{00000000-0010-0000-0000-000008000000}" name="Nombre completo de su hija/o"/>
    <tableColumn id="31" xr3:uid="{460E16A4-36C2-4DA3-9D56-9506D7086117}" name="Columna2" dataDxfId="0">
      <calculatedColumnFormula>+UPPER(Form_Responses[[#This Row],[Nombre completo de su hija/o]])</calculatedColumnFormula>
    </tableColumn>
    <tableColumn id="9" xr3:uid="{00000000-0010-0000-0000-000009000000}" name="Número de documento de su hijo/a"/>
    <tableColumn id="10" xr3:uid="{00000000-0010-0000-0000-00000A000000}" name="Colegio"/>
    <tableColumn id="11" xr3:uid="{00000000-0010-0000-0000-00000B000000}" name="Grado que cursa"/>
    <tableColumn id="12" xr3:uid="{00000000-0010-0000-0000-00000C000000}" name="Acepto participar"/>
    <tableColumn id="13" xr3:uid="{00000000-0010-0000-0000-00000D000000}" name="El único momento en el que estoy seguro/a de que mi hijo/a me quiere es cuando me está sonriendo"/>
    <tableColumn id="14" xr3:uid="{00000000-0010-0000-0000-00000E000000}" name="Siempre sé lo que mi hijo/a quiere"/>
    <tableColumn id="15" xr3:uid="{00000000-0010-0000-0000-00000F000000}" name="Me gusta pensar sobre las razones que hay detrás de la forma en la que se comporta y se siente mi hijo/a"/>
    <tableColumn id="16" xr3:uid="{00000000-0010-0000-0000-000010000000}" name="Mi hijo/a es difícil cuando hay desconocidos para avergonzarme"/>
    <tableColumn id="17" xr3:uid="{00000000-0010-0000-0000-000011000000}" name="Puedo “adivinar el pensamiento” de mi hijo/a totalmente"/>
    <tableColumn id="18" xr3:uid="{00000000-0010-0000-0000-000012000000}" name="Me pregunto muy a menudo sobre lo que mi hijo/a está pensando o sintiendo"/>
    <tableColumn id="19" xr3:uid="{00000000-0010-0000-0000-000013000000}" name="Me resulta difícil participar activamente en juegos simbólicos/imaginarios con mi hijo/a"/>
    <tableColumn id="20" xr3:uid="{00000000-0010-0000-0000-000014000000}" name="Siempre puedo predecir lo que hará mi hijo/a"/>
    <tableColumn id="21" xr3:uid="{00000000-0010-0000-0000-000015000000}" name="A menudo, siento curiosidad por conocer cómo se siente mi hijo/a."/>
    <tableColumn id="22" xr3:uid="{00000000-0010-0000-0000-000016000000}" name="A veces mi hijo/a se pone enfermo para impedir que yo haga lo que quiero hacer"/>
    <tableColumn id="23" xr3:uid="{00000000-0010-0000-0000-000017000000}" name="A veces, puedo malinterpretar las reacciones de mi hijo/a"/>
    <tableColumn id="24" xr3:uid="{00000000-0010-0000-0000-000018000000}" name="Intento ver las situaciones desde la perspectiva de mi hijo/a"/>
    <tableColumn id="25" xr3:uid="{00000000-0010-0000-0000-000019000000}" name="Cuando mi hija/hijo está malhumorado lo hace sólo para molestarme"/>
    <tableColumn id="26" xr3:uid="{00000000-0010-0000-0000-00001A000000}" name="Siempre sé la razón de por qué hago lo que hago con mi hijo/a"/>
    <tableColumn id="27" xr3:uid="{00000000-0010-0000-0000-00001B000000}" name="Intento entender las razones por las que mi hijo/a se porta mal"/>
    <tableColumn id="28" xr3:uid="{00000000-0010-0000-0000-00001C000000}" name="A menudo, el comportamiento de mi hijo/a es demasiado confuso como para preocuparme por entenderlo"/>
    <tableColumn id="29" xr3:uid="{00000000-0010-0000-0000-00001D000000}" name="Siempre sé por qué mi hijo/a actúa de la forma en la que lo hace"/>
    <tableColumn id="30" xr3:uid="{00000000-0010-0000-0000-00001E000000}" name="Creo que no tiene sentido intentar adivinar lo que siente mi hijo/a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66"/>
  <sheetViews>
    <sheetView workbookViewId="0">
      <pane ySplit="2" topLeftCell="A3" activePane="bottomLeft" state="frozen"/>
      <selection pane="bottomLeft" sqref="A1:XFD1048576"/>
    </sheetView>
  </sheetViews>
  <sheetFormatPr baseColWidth="10" defaultColWidth="12.6640625" defaultRowHeight="15.75" customHeight="1" x14ac:dyDescent="0.25"/>
  <cols>
    <col min="1" max="1" width="27.88671875" customWidth="1"/>
    <col min="2" max="2" width="18.88671875" customWidth="1"/>
    <col min="3" max="3" width="42.21875" bestFit="1" customWidth="1"/>
    <col min="4" max="7" width="18.88671875" customWidth="1"/>
    <col min="8" max="9" width="27.33203125" customWidth="1"/>
    <col min="10" max="10" width="30.88671875" customWidth="1"/>
    <col min="11" max="13" width="18.88671875" customWidth="1"/>
    <col min="14" max="14" width="37.6640625" customWidth="1"/>
    <col min="15" max="15" width="30" customWidth="1"/>
    <col min="16" max="31" width="37.6640625" customWidth="1"/>
    <col min="32" max="37" width="18.88671875" customWidth="1"/>
  </cols>
  <sheetData>
    <row r="1" spans="1:31" ht="15.75" customHeight="1" x14ac:dyDescent="0.25">
      <c r="A1" s="12" t="s">
        <v>0</v>
      </c>
      <c r="B1" s="12" t="s">
        <v>1</v>
      </c>
      <c r="C1" t="s">
        <v>313</v>
      </c>
      <c r="D1" s="12" t="s">
        <v>2</v>
      </c>
      <c r="E1" s="13" t="s">
        <v>314</v>
      </c>
      <c r="F1" s="12" t="s">
        <v>4</v>
      </c>
      <c r="G1" s="12" t="s">
        <v>5</v>
      </c>
      <c r="H1" s="12" t="s">
        <v>315</v>
      </c>
      <c r="I1" s="13" t="s">
        <v>316</v>
      </c>
      <c r="J1" s="13" t="s">
        <v>317</v>
      </c>
      <c r="K1" s="12" t="s">
        <v>8</v>
      </c>
      <c r="L1" s="12" t="s">
        <v>9</v>
      </c>
      <c r="M1" s="12" t="s">
        <v>10</v>
      </c>
      <c r="N1" s="12" t="s">
        <v>318</v>
      </c>
      <c r="O1" s="12" t="s">
        <v>319</v>
      </c>
      <c r="P1" s="12" t="s">
        <v>320</v>
      </c>
      <c r="Q1" s="12" t="s">
        <v>321</v>
      </c>
      <c r="R1" s="12" t="s">
        <v>322</v>
      </c>
      <c r="S1" s="12" t="s">
        <v>323</v>
      </c>
      <c r="T1" s="12" t="s">
        <v>324</v>
      </c>
      <c r="U1" s="12" t="s">
        <v>325</v>
      </c>
      <c r="V1" s="12" t="s">
        <v>326</v>
      </c>
      <c r="W1" s="12" t="s">
        <v>327</v>
      </c>
      <c r="X1" s="12" t="s">
        <v>328</v>
      </c>
      <c r="Y1" s="12" t="s">
        <v>329</v>
      </c>
      <c r="Z1" s="12" t="s">
        <v>330</v>
      </c>
      <c r="AA1" s="12" t="s">
        <v>331</v>
      </c>
      <c r="AB1" s="12" t="s">
        <v>332</v>
      </c>
      <c r="AC1" s="12" t="s">
        <v>333</v>
      </c>
      <c r="AD1" s="12" t="s">
        <v>334</v>
      </c>
      <c r="AE1" s="12" t="s">
        <v>335</v>
      </c>
    </row>
    <row r="2" spans="1:31" x14ac:dyDescent="0.25">
      <c r="A2" s="1" t="s">
        <v>0</v>
      </c>
      <c r="B2" s="1" t="s">
        <v>1</v>
      </c>
      <c r="C2" s="1" t="s">
        <v>336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337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2" t="s">
        <v>28</v>
      </c>
    </row>
    <row r="3" spans="1:31" x14ac:dyDescent="0.25">
      <c r="A3" s="3" t="s">
        <v>29</v>
      </c>
      <c r="B3" s="3" t="s">
        <v>30</v>
      </c>
      <c r="C3" s="3" t="str">
        <f>+UPPER(Form_Responses[[#This Row],[Nombre completo]])</f>
        <v xml:space="preserve">LUZ MARÍA ESTRADA CERPA </v>
      </c>
      <c r="D3" s="3" t="s">
        <v>31</v>
      </c>
      <c r="E3" s="3" t="s">
        <v>32</v>
      </c>
      <c r="F3" s="3">
        <v>1</v>
      </c>
      <c r="G3" s="3" t="s">
        <v>33</v>
      </c>
      <c r="H3" s="3" t="s">
        <v>34</v>
      </c>
      <c r="I3" s="3" t="str">
        <f>+UPPER(Form_Responses[[#This Row],[Nombre completo de su hija/o]])</f>
        <v xml:space="preserve">CARLOS ALBERTO FAJARDO ESTRADA </v>
      </c>
      <c r="J3" s="3">
        <v>1201224465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39</v>
      </c>
      <c r="Q3" s="3" t="s">
        <v>40</v>
      </c>
      <c r="R3" s="3" t="s">
        <v>38</v>
      </c>
      <c r="S3" s="3" t="s">
        <v>39</v>
      </c>
      <c r="T3" s="3" t="s">
        <v>38</v>
      </c>
      <c r="U3" s="3" t="s">
        <v>38</v>
      </c>
      <c r="V3" s="3" t="s">
        <v>39</v>
      </c>
      <c r="W3" s="3" t="s">
        <v>41</v>
      </c>
      <c r="X3" s="3" t="s">
        <v>39</v>
      </c>
      <c r="Y3" s="3" t="s">
        <v>39</v>
      </c>
      <c r="Z3" s="3" t="s">
        <v>38</v>
      </c>
      <c r="AA3" s="3" t="s">
        <v>42</v>
      </c>
      <c r="AB3" s="3" t="s">
        <v>39</v>
      </c>
      <c r="AC3" s="3" t="s">
        <v>41</v>
      </c>
      <c r="AD3" s="3" t="s">
        <v>38</v>
      </c>
      <c r="AE3" s="4" t="s">
        <v>38</v>
      </c>
    </row>
    <row r="4" spans="1:31" x14ac:dyDescent="0.25">
      <c r="A4" s="5" t="s">
        <v>43</v>
      </c>
      <c r="B4" s="5" t="s">
        <v>44</v>
      </c>
      <c r="C4" s="5" t="str">
        <f>+UPPER(Form_Responses[[#This Row],[Nombre completo]])</f>
        <v xml:space="preserve">LISANA BERRÍO SIMARRA </v>
      </c>
      <c r="D4" s="5" t="s">
        <v>45</v>
      </c>
      <c r="E4" s="5" t="s">
        <v>32</v>
      </c>
      <c r="F4" s="5">
        <v>1</v>
      </c>
      <c r="G4" s="5" t="s">
        <v>46</v>
      </c>
      <c r="H4" s="5" t="s">
        <v>47</v>
      </c>
      <c r="I4" s="5" t="str">
        <f>+UPPER(Form_Responses[[#This Row],[Nombre completo de su hija/o]])</f>
        <v>YORGELIS SOFÍA MESTRE BERRIO</v>
      </c>
      <c r="J4" s="5">
        <v>1047458523</v>
      </c>
      <c r="K4" s="5" t="s">
        <v>48</v>
      </c>
      <c r="L4" s="5">
        <v>9</v>
      </c>
      <c r="M4" s="5" t="s">
        <v>37</v>
      </c>
      <c r="N4" s="5" t="s">
        <v>38</v>
      </c>
      <c r="O4" s="5" t="s">
        <v>42</v>
      </c>
      <c r="P4" s="5" t="s">
        <v>39</v>
      </c>
      <c r="Q4" s="5" t="s">
        <v>38</v>
      </c>
      <c r="R4" s="5" t="s">
        <v>42</v>
      </c>
      <c r="S4" s="5" t="s">
        <v>40</v>
      </c>
      <c r="T4" s="5" t="s">
        <v>38</v>
      </c>
      <c r="U4" s="5" t="s">
        <v>38</v>
      </c>
      <c r="V4" s="5" t="s">
        <v>39</v>
      </c>
      <c r="W4" s="5" t="s">
        <v>38</v>
      </c>
      <c r="X4" s="5" t="s">
        <v>42</v>
      </c>
      <c r="Y4" s="5" t="s">
        <v>39</v>
      </c>
      <c r="Z4" s="5" t="s">
        <v>38</v>
      </c>
      <c r="AA4" s="5" t="s">
        <v>42</v>
      </c>
      <c r="AB4" s="5" t="s">
        <v>49</v>
      </c>
      <c r="AC4" s="5" t="s">
        <v>38</v>
      </c>
      <c r="AD4" s="5" t="s">
        <v>42</v>
      </c>
      <c r="AE4" s="6" t="s">
        <v>41</v>
      </c>
    </row>
    <row r="5" spans="1:31" x14ac:dyDescent="0.25">
      <c r="A5" s="3" t="s">
        <v>50</v>
      </c>
      <c r="B5" s="3" t="s">
        <v>51</v>
      </c>
      <c r="C5" s="3" t="str">
        <f>+UPPER(Form_Responses[[#This Row],[Nombre completo]])</f>
        <v xml:space="preserve">DORCA ESTER CASTRO SIERRA </v>
      </c>
      <c r="D5" s="3">
        <v>14</v>
      </c>
      <c r="E5" s="3" t="s">
        <v>32</v>
      </c>
      <c r="F5" s="3">
        <v>1</v>
      </c>
      <c r="G5" s="3" t="s">
        <v>33</v>
      </c>
      <c r="H5" s="3" t="s">
        <v>52</v>
      </c>
      <c r="I5" s="3" t="str">
        <f>+UPPER(Form_Responses[[#This Row],[Nombre completo de su hija/o]])</f>
        <v>DORCA ESTER CASTRO SIERRA</v>
      </c>
      <c r="J5" s="3">
        <v>1143368292</v>
      </c>
      <c r="K5" s="3" t="s">
        <v>53</v>
      </c>
      <c r="L5" s="3">
        <v>9</v>
      </c>
      <c r="M5" s="3" t="s">
        <v>37</v>
      </c>
      <c r="N5" s="3" t="s">
        <v>42</v>
      </c>
      <c r="O5" s="3" t="s">
        <v>49</v>
      </c>
      <c r="P5" s="3" t="s">
        <v>49</v>
      </c>
      <c r="Q5" s="3" t="s">
        <v>38</v>
      </c>
      <c r="R5" s="3" t="s">
        <v>39</v>
      </c>
      <c r="S5" s="3" t="s">
        <v>39</v>
      </c>
      <c r="T5" s="3" t="s">
        <v>42</v>
      </c>
      <c r="U5" s="3" t="s">
        <v>42</v>
      </c>
      <c r="V5" s="3" t="s">
        <v>39</v>
      </c>
      <c r="W5" s="3" t="s">
        <v>38</v>
      </c>
      <c r="X5" s="3" t="s">
        <v>38</v>
      </c>
      <c r="Y5" s="3" t="s">
        <v>42</v>
      </c>
      <c r="Z5" s="3" t="s">
        <v>38</v>
      </c>
      <c r="AA5" s="3" t="s">
        <v>39</v>
      </c>
      <c r="AB5" s="3" t="s">
        <v>42</v>
      </c>
      <c r="AC5" s="3" t="s">
        <v>38</v>
      </c>
      <c r="AD5" s="3" t="s">
        <v>42</v>
      </c>
      <c r="AE5" s="4" t="s">
        <v>42</v>
      </c>
    </row>
    <row r="6" spans="1:31" x14ac:dyDescent="0.25">
      <c r="A6" s="5" t="s">
        <v>54</v>
      </c>
      <c r="B6" s="5" t="s">
        <v>55</v>
      </c>
      <c r="C6" s="5" t="str">
        <f>+UPPER(Form_Responses[[#This Row],[Nombre completo]])</f>
        <v xml:space="preserve">ALEXANDRA OLMOS TRESPALACIO </v>
      </c>
      <c r="D6" s="5" t="s">
        <v>56</v>
      </c>
      <c r="E6" s="5" t="s">
        <v>32</v>
      </c>
      <c r="F6" s="5">
        <v>2</v>
      </c>
      <c r="G6" s="5" t="s">
        <v>33</v>
      </c>
      <c r="H6" s="5" t="s">
        <v>57</v>
      </c>
      <c r="I6" s="5" t="str">
        <f>+UPPER(Form_Responses[[#This Row],[Nombre completo de su hija/o]])</f>
        <v xml:space="preserve">SAMUEL CORRALES OLMOS </v>
      </c>
      <c r="J6" s="5">
        <v>1043306229</v>
      </c>
      <c r="K6" s="5" t="s">
        <v>58</v>
      </c>
      <c r="L6" s="5" t="s">
        <v>59</v>
      </c>
      <c r="M6" s="5" t="s">
        <v>37</v>
      </c>
      <c r="N6" s="5" t="s">
        <v>40</v>
      </c>
      <c r="O6" s="5" t="s">
        <v>38</v>
      </c>
      <c r="P6" s="5" t="s">
        <v>60</v>
      </c>
      <c r="Q6" s="5" t="s">
        <v>38</v>
      </c>
      <c r="R6" s="5" t="s">
        <v>42</v>
      </c>
      <c r="S6" s="5" t="s">
        <v>60</v>
      </c>
      <c r="T6" s="5" t="s">
        <v>42</v>
      </c>
      <c r="U6" s="5" t="s">
        <v>41</v>
      </c>
      <c r="V6" s="5" t="s">
        <v>39</v>
      </c>
      <c r="W6" s="5" t="s">
        <v>40</v>
      </c>
      <c r="X6" s="5" t="s">
        <v>42</v>
      </c>
      <c r="Y6" s="5" t="s">
        <v>60</v>
      </c>
      <c r="Z6" s="5" t="s">
        <v>40</v>
      </c>
      <c r="AA6" s="5" t="s">
        <v>42</v>
      </c>
      <c r="AB6" s="5" t="s">
        <v>39</v>
      </c>
      <c r="AC6" s="5" t="s">
        <v>40</v>
      </c>
      <c r="AD6" s="5" t="s">
        <v>42</v>
      </c>
      <c r="AE6" s="6" t="s">
        <v>41</v>
      </c>
    </row>
    <row r="7" spans="1:31" x14ac:dyDescent="0.25">
      <c r="A7" s="3" t="s">
        <v>61</v>
      </c>
      <c r="B7" s="3" t="s">
        <v>62</v>
      </c>
      <c r="C7" s="3" t="str">
        <f>+UPPER(Form_Responses[[#This Row],[Nombre completo]])</f>
        <v xml:space="preserve">YESMIN ZURITA GUTIERREZ </v>
      </c>
      <c r="D7" s="3">
        <v>41</v>
      </c>
      <c r="E7" s="3" t="s">
        <v>32</v>
      </c>
      <c r="F7" s="3">
        <v>1</v>
      </c>
      <c r="G7" s="3" t="s">
        <v>63</v>
      </c>
      <c r="H7" s="3" t="s">
        <v>64</v>
      </c>
      <c r="I7" s="3" t="str">
        <f>+UPPER(Form_Responses[[#This Row],[Nombre completo de su hija/o]])</f>
        <v xml:space="preserve">WILTON SANTIAGO OSORIO RICARDO </v>
      </c>
      <c r="J7" s="3">
        <v>1041988653</v>
      </c>
      <c r="K7" s="3" t="s">
        <v>65</v>
      </c>
      <c r="L7" s="3">
        <v>8</v>
      </c>
      <c r="M7" s="3" t="s">
        <v>37</v>
      </c>
      <c r="N7" s="3" t="s">
        <v>40</v>
      </c>
      <c r="O7" s="3" t="s">
        <v>42</v>
      </c>
      <c r="P7" s="3" t="s">
        <v>49</v>
      </c>
      <c r="Q7" s="3" t="s">
        <v>38</v>
      </c>
      <c r="R7" s="3" t="s">
        <v>38</v>
      </c>
      <c r="S7" s="3" t="s">
        <v>38</v>
      </c>
      <c r="T7" s="3" t="s">
        <v>38</v>
      </c>
      <c r="U7" s="3" t="s">
        <v>42</v>
      </c>
      <c r="V7" s="3" t="s">
        <v>38</v>
      </c>
      <c r="W7" s="3" t="s">
        <v>38</v>
      </c>
      <c r="X7" s="3" t="s">
        <v>39</v>
      </c>
      <c r="Y7" s="3" t="s">
        <v>39</v>
      </c>
      <c r="Z7" s="3" t="s">
        <v>38</v>
      </c>
      <c r="AA7" s="3" t="s">
        <v>39</v>
      </c>
      <c r="AB7" s="3" t="s">
        <v>42</v>
      </c>
      <c r="AC7" s="3" t="s">
        <v>38</v>
      </c>
      <c r="AD7" s="3" t="s">
        <v>39</v>
      </c>
      <c r="AE7" s="4" t="s">
        <v>38</v>
      </c>
    </row>
    <row r="8" spans="1:31" x14ac:dyDescent="0.25">
      <c r="A8" s="5" t="s">
        <v>66</v>
      </c>
      <c r="B8" s="5" t="s">
        <v>67</v>
      </c>
      <c r="C8" s="5" t="str">
        <f>+UPPER(Form_Responses[[#This Row],[Nombre completo]])</f>
        <v xml:space="preserve">MILAGRO JOSÉ GUERRA CASTILLA </v>
      </c>
      <c r="D8" s="5">
        <v>49</v>
      </c>
      <c r="E8" s="5" t="s">
        <v>32</v>
      </c>
      <c r="F8" s="5">
        <v>1</v>
      </c>
      <c r="G8" s="5" t="s">
        <v>33</v>
      </c>
      <c r="H8" s="5" t="s">
        <v>68</v>
      </c>
      <c r="I8" s="5" t="str">
        <f>+UPPER(Form_Responses[[#This Row],[Nombre completo de su hija/o]])</f>
        <v xml:space="preserve">JESÚS DANIEL BEJARANO GUERRA </v>
      </c>
      <c r="J8" s="5">
        <v>1043988635</v>
      </c>
      <c r="K8" s="5" t="s">
        <v>69</v>
      </c>
      <c r="L8" s="5" t="s">
        <v>70</v>
      </c>
      <c r="M8" s="5" t="s">
        <v>37</v>
      </c>
      <c r="N8" s="5" t="s">
        <v>40</v>
      </c>
      <c r="O8" s="5" t="s">
        <v>42</v>
      </c>
      <c r="P8" s="5" t="s">
        <v>60</v>
      </c>
      <c r="Q8" s="5" t="s">
        <v>40</v>
      </c>
      <c r="R8" s="5" t="s">
        <v>42</v>
      </c>
      <c r="S8" s="5" t="s">
        <v>60</v>
      </c>
      <c r="T8" s="5" t="s">
        <v>42</v>
      </c>
      <c r="U8" s="5" t="s">
        <v>39</v>
      </c>
      <c r="V8" s="5" t="s">
        <v>60</v>
      </c>
      <c r="W8" s="5" t="s">
        <v>40</v>
      </c>
      <c r="X8" s="5" t="s">
        <v>40</v>
      </c>
      <c r="Y8" s="5" t="s">
        <v>60</v>
      </c>
      <c r="Z8" s="5" t="s">
        <v>40</v>
      </c>
      <c r="AA8" s="5" t="s">
        <v>60</v>
      </c>
      <c r="AB8" s="5" t="s">
        <v>60</v>
      </c>
      <c r="AC8" s="5" t="s">
        <v>42</v>
      </c>
      <c r="AD8" s="5" t="s">
        <v>38</v>
      </c>
      <c r="AE8" s="6" t="s">
        <v>40</v>
      </c>
    </row>
    <row r="9" spans="1:31" x14ac:dyDescent="0.25">
      <c r="A9" s="3" t="s">
        <v>71</v>
      </c>
      <c r="B9" s="3" t="s">
        <v>72</v>
      </c>
      <c r="C9" s="3" t="str">
        <f>+UPPER(Form_Responses[[#This Row],[Nombre completo]])</f>
        <v>MARLYN NOHEMY MUÑIZ ARNEDO</v>
      </c>
      <c r="D9" s="3" t="s">
        <v>73</v>
      </c>
      <c r="E9" s="3" t="s">
        <v>32</v>
      </c>
      <c r="F9" s="3">
        <v>1</v>
      </c>
      <c r="G9" s="3" t="s">
        <v>33</v>
      </c>
      <c r="H9" s="3" t="s">
        <v>74</v>
      </c>
      <c r="I9" s="3" t="str">
        <f>+UPPER(Form_Responses[[#This Row],[Nombre completo de su hija/o]])</f>
        <v>MATIAS POILAO MUÑIZ</v>
      </c>
      <c r="J9" s="7">
        <v>1201227814</v>
      </c>
      <c r="K9" s="3" t="s">
        <v>75</v>
      </c>
      <c r="L9" s="3" t="s">
        <v>76</v>
      </c>
      <c r="M9" s="3" t="s">
        <v>37</v>
      </c>
      <c r="N9" s="3" t="s">
        <v>38</v>
      </c>
      <c r="O9" s="3" t="s">
        <v>41</v>
      </c>
      <c r="P9" s="3" t="s">
        <v>60</v>
      </c>
      <c r="Q9" s="3" t="s">
        <v>38</v>
      </c>
      <c r="R9" s="3" t="s">
        <v>39</v>
      </c>
      <c r="S9" s="3" t="s">
        <v>60</v>
      </c>
      <c r="T9" s="3" t="s">
        <v>42</v>
      </c>
      <c r="U9" s="3" t="s">
        <v>60</v>
      </c>
      <c r="V9" s="3" t="s">
        <v>49</v>
      </c>
      <c r="W9" s="3" t="s">
        <v>41</v>
      </c>
      <c r="X9" s="3" t="s">
        <v>60</v>
      </c>
      <c r="Y9" s="3" t="s">
        <v>60</v>
      </c>
      <c r="Z9" s="3" t="s">
        <v>49</v>
      </c>
      <c r="AA9" s="3" t="s">
        <v>60</v>
      </c>
      <c r="AB9" s="3" t="s">
        <v>60</v>
      </c>
      <c r="AC9" s="3" t="s">
        <v>38</v>
      </c>
      <c r="AD9" s="3" t="s">
        <v>60</v>
      </c>
      <c r="AE9" s="4" t="s">
        <v>40</v>
      </c>
    </row>
    <row r="10" spans="1:31" x14ac:dyDescent="0.25">
      <c r="A10" s="5" t="s">
        <v>77</v>
      </c>
      <c r="B10" s="5" t="s">
        <v>78</v>
      </c>
      <c r="C10" s="5" t="str">
        <f>+UPPER(Form_Responses[[#This Row],[Nombre completo]])</f>
        <v xml:space="preserve">YINELA HERRERA </v>
      </c>
      <c r="D10" s="5">
        <v>34</v>
      </c>
      <c r="E10" s="5" t="s">
        <v>32</v>
      </c>
      <c r="F10" s="5">
        <v>1</v>
      </c>
      <c r="G10" s="5" t="s">
        <v>33</v>
      </c>
      <c r="H10" s="5" t="s">
        <v>79</v>
      </c>
      <c r="I10" s="5" t="str">
        <f>+UPPER(Form_Responses[[#This Row],[Nombre completo de su hija/o]])</f>
        <v>BRIANA OSPINO HERRERA</v>
      </c>
      <c r="J10" s="5">
        <v>1043989584</v>
      </c>
      <c r="K10" s="5" t="s">
        <v>65</v>
      </c>
      <c r="L10" s="5" t="s">
        <v>80</v>
      </c>
      <c r="M10" s="5" t="s">
        <v>81</v>
      </c>
      <c r="N10" s="5" t="s">
        <v>42</v>
      </c>
      <c r="O10" s="5" t="s">
        <v>49</v>
      </c>
      <c r="P10" s="5" t="s">
        <v>60</v>
      </c>
      <c r="Q10" s="5" t="s">
        <v>40</v>
      </c>
      <c r="R10" s="5" t="s">
        <v>49</v>
      </c>
      <c r="S10" s="5" t="s">
        <v>39</v>
      </c>
      <c r="T10" s="5" t="s">
        <v>42</v>
      </c>
      <c r="U10" s="5" t="s">
        <v>42</v>
      </c>
      <c r="V10" s="5" t="s">
        <v>39</v>
      </c>
      <c r="W10" s="5" t="s">
        <v>38</v>
      </c>
      <c r="X10" s="5" t="s">
        <v>38</v>
      </c>
      <c r="Y10" s="5" t="s">
        <v>39</v>
      </c>
      <c r="Z10" s="5" t="s">
        <v>38</v>
      </c>
      <c r="AA10" s="5" t="s">
        <v>39</v>
      </c>
      <c r="AB10" s="5" t="s">
        <v>39</v>
      </c>
      <c r="AC10" s="5" t="s">
        <v>38</v>
      </c>
      <c r="AD10" s="5" t="s">
        <v>39</v>
      </c>
      <c r="AE10" s="6" t="s">
        <v>38</v>
      </c>
    </row>
    <row r="11" spans="1:31" x14ac:dyDescent="0.25">
      <c r="A11" s="3" t="s">
        <v>82</v>
      </c>
      <c r="B11" s="3" t="s">
        <v>83</v>
      </c>
      <c r="C11" s="3" t="str">
        <f>+UPPER(Form_Responses[[#This Row],[Nombre completo]])</f>
        <v xml:space="preserve">YIRLIS PAOLA FRANCO ORTEGA </v>
      </c>
      <c r="D11" s="3">
        <v>34</v>
      </c>
      <c r="E11" s="3" t="s">
        <v>32</v>
      </c>
      <c r="F11" s="3">
        <v>1</v>
      </c>
      <c r="G11" s="3" t="s">
        <v>33</v>
      </c>
      <c r="H11" s="3" t="s">
        <v>84</v>
      </c>
      <c r="I11" s="3" t="str">
        <f>+UPPER(Form_Responses[[#This Row],[Nombre completo de su hija/o]])</f>
        <v xml:space="preserve">JHON BRAYAN AHUMADA FRANCO </v>
      </c>
      <c r="J11" s="3">
        <v>1201219741</v>
      </c>
      <c r="K11" s="3" t="s">
        <v>85</v>
      </c>
      <c r="L11" s="3">
        <v>8</v>
      </c>
      <c r="M11" s="3" t="s">
        <v>37</v>
      </c>
      <c r="N11" s="3" t="s">
        <v>41</v>
      </c>
      <c r="O11" s="3" t="s">
        <v>38</v>
      </c>
      <c r="P11" s="3" t="s">
        <v>49</v>
      </c>
      <c r="Q11" s="3" t="s">
        <v>40</v>
      </c>
      <c r="R11" s="3" t="s">
        <v>40</v>
      </c>
      <c r="S11" s="3" t="s">
        <v>39</v>
      </c>
      <c r="T11" s="3" t="s">
        <v>39</v>
      </c>
      <c r="U11" s="3" t="s">
        <v>40</v>
      </c>
      <c r="V11" s="3" t="s">
        <v>39</v>
      </c>
      <c r="W11" s="3" t="s">
        <v>38</v>
      </c>
      <c r="X11" s="3" t="s">
        <v>42</v>
      </c>
      <c r="Y11" s="3" t="s">
        <v>39</v>
      </c>
      <c r="Z11" s="3" t="s">
        <v>38</v>
      </c>
      <c r="AA11" s="3" t="s">
        <v>39</v>
      </c>
      <c r="AB11" s="3" t="s">
        <v>42</v>
      </c>
      <c r="AC11" s="3" t="s">
        <v>38</v>
      </c>
      <c r="AD11" s="3" t="s">
        <v>39</v>
      </c>
      <c r="AE11" s="4" t="s">
        <v>38</v>
      </c>
    </row>
    <row r="12" spans="1:31" x14ac:dyDescent="0.25">
      <c r="A12" s="5" t="s">
        <v>86</v>
      </c>
      <c r="B12" s="5" t="s">
        <v>87</v>
      </c>
      <c r="C12" s="5" t="str">
        <f>+UPPER(Form_Responses[[#This Row],[Nombre completo]])</f>
        <v xml:space="preserve">ELIZABETH CORREA CONQUETT </v>
      </c>
      <c r="D12" s="5">
        <v>33</v>
      </c>
      <c r="E12" s="5" t="s">
        <v>32</v>
      </c>
      <c r="F12" s="5">
        <v>1</v>
      </c>
      <c r="G12" s="5" t="s">
        <v>63</v>
      </c>
      <c r="H12" s="5" t="s">
        <v>88</v>
      </c>
      <c r="I12" s="5" t="str">
        <f>+UPPER(Form_Responses[[#This Row],[Nombre completo de su hija/o]])</f>
        <v>JUEL SEBASTIAN THERAN CORREA</v>
      </c>
      <c r="J12" s="5">
        <v>1201223213</v>
      </c>
      <c r="K12" s="5" t="s">
        <v>58</v>
      </c>
      <c r="L12" s="5">
        <v>9</v>
      </c>
      <c r="M12" s="5" t="s">
        <v>37</v>
      </c>
      <c r="N12" s="5" t="s">
        <v>38</v>
      </c>
      <c r="O12" s="5" t="s">
        <v>49</v>
      </c>
      <c r="P12" s="5" t="s">
        <v>60</v>
      </c>
      <c r="Q12" s="5" t="s">
        <v>40</v>
      </c>
      <c r="R12" s="5" t="s">
        <v>38</v>
      </c>
      <c r="S12" s="5" t="s">
        <v>42</v>
      </c>
      <c r="T12" s="5" t="s">
        <v>38</v>
      </c>
      <c r="U12" s="5" t="s">
        <v>38</v>
      </c>
      <c r="V12" s="5" t="s">
        <v>39</v>
      </c>
      <c r="W12" s="5" t="s">
        <v>38</v>
      </c>
      <c r="X12" s="5" t="s">
        <v>39</v>
      </c>
      <c r="Y12" s="5" t="s">
        <v>49</v>
      </c>
      <c r="Z12" s="5" t="s">
        <v>38</v>
      </c>
      <c r="AA12" s="5" t="s">
        <v>39</v>
      </c>
      <c r="AB12" s="5" t="s">
        <v>39</v>
      </c>
      <c r="AC12" s="5" t="s">
        <v>38</v>
      </c>
      <c r="AD12" s="5" t="s">
        <v>39</v>
      </c>
      <c r="AE12" s="6" t="s">
        <v>38</v>
      </c>
    </row>
    <row r="13" spans="1:31" x14ac:dyDescent="0.25">
      <c r="A13" s="3" t="s">
        <v>89</v>
      </c>
      <c r="B13" s="3" t="s">
        <v>90</v>
      </c>
      <c r="C13" s="3" t="str">
        <f>+UPPER(Form_Responses[[#This Row],[Nombre completo]])</f>
        <v xml:space="preserve">OSIRIS RAMIREZ ARENILLA </v>
      </c>
      <c r="D13" s="3" t="s">
        <v>91</v>
      </c>
      <c r="E13" s="3" t="s">
        <v>32</v>
      </c>
      <c r="F13" s="3">
        <v>1</v>
      </c>
      <c r="G13" s="3" t="s">
        <v>33</v>
      </c>
      <c r="H13" s="3" t="s">
        <v>92</v>
      </c>
      <c r="I13" s="3" t="str">
        <f>+UPPER(Form_Responses[[#This Row],[Nombre completo de su hija/o]])</f>
        <v xml:space="preserve">ELIZABETH GONZÁLEZ RAMÍREZ </v>
      </c>
      <c r="J13" s="3">
        <v>1201215942</v>
      </c>
      <c r="K13" s="3" t="s">
        <v>93</v>
      </c>
      <c r="L13" s="3">
        <v>9</v>
      </c>
      <c r="M13" s="3" t="s">
        <v>37</v>
      </c>
      <c r="N13" s="3" t="s">
        <v>40</v>
      </c>
      <c r="O13" s="3" t="s">
        <v>38</v>
      </c>
      <c r="P13" s="3" t="s">
        <v>39</v>
      </c>
      <c r="Q13" s="3" t="s">
        <v>40</v>
      </c>
      <c r="R13" s="3" t="s">
        <v>40</v>
      </c>
      <c r="S13" s="3" t="s">
        <v>39</v>
      </c>
      <c r="T13" s="3" t="s">
        <v>40</v>
      </c>
      <c r="U13" s="3" t="s">
        <v>39</v>
      </c>
      <c r="V13" s="3" t="s">
        <v>39</v>
      </c>
      <c r="W13" s="3" t="s">
        <v>40</v>
      </c>
      <c r="X13" s="3" t="s">
        <v>40</v>
      </c>
      <c r="Y13" s="3" t="s">
        <v>39</v>
      </c>
      <c r="Z13" s="3" t="s">
        <v>40</v>
      </c>
      <c r="AA13" s="3" t="s">
        <v>39</v>
      </c>
      <c r="AB13" s="3" t="s">
        <v>39</v>
      </c>
      <c r="AC13" s="3" t="s">
        <v>40</v>
      </c>
      <c r="AD13" s="3" t="s">
        <v>39</v>
      </c>
      <c r="AE13" s="4" t="s">
        <v>40</v>
      </c>
    </row>
    <row r="14" spans="1:31" x14ac:dyDescent="0.25">
      <c r="A14" s="5" t="s">
        <v>94</v>
      </c>
      <c r="B14" s="5" t="s">
        <v>95</v>
      </c>
      <c r="C14" s="5" t="str">
        <f>+UPPER(Form_Responses[[#This Row],[Nombre completo]])</f>
        <v xml:space="preserve">GENEI KARIMEN GONZALEZ VERONA </v>
      </c>
      <c r="D14" s="5">
        <v>39</v>
      </c>
      <c r="E14" s="5" t="s">
        <v>32</v>
      </c>
      <c r="F14" s="5">
        <v>1</v>
      </c>
      <c r="G14" s="5" t="s">
        <v>33</v>
      </c>
      <c r="H14" s="5" t="s">
        <v>96</v>
      </c>
      <c r="I14" s="5" t="str">
        <f>+UPPER(Form_Responses[[#This Row],[Nombre completo de su hija/o]])</f>
        <v xml:space="preserve">SAMUEL DAVID MARTÍNEZ GONZALEZ </v>
      </c>
      <c r="J14" s="5">
        <v>1142926345</v>
      </c>
      <c r="K14" s="5" t="s">
        <v>58</v>
      </c>
      <c r="L14" s="5" t="s">
        <v>97</v>
      </c>
      <c r="M14" s="5" t="s">
        <v>37</v>
      </c>
      <c r="N14" s="5" t="s">
        <v>40</v>
      </c>
      <c r="O14" s="5" t="s">
        <v>41</v>
      </c>
      <c r="P14" s="5" t="s">
        <v>39</v>
      </c>
      <c r="Q14" s="5" t="s">
        <v>38</v>
      </c>
      <c r="R14" s="5" t="s">
        <v>42</v>
      </c>
      <c r="S14" s="5" t="s">
        <v>49</v>
      </c>
      <c r="T14" s="5" t="s">
        <v>42</v>
      </c>
      <c r="U14" s="5" t="s">
        <v>41</v>
      </c>
      <c r="V14" s="5" t="s">
        <v>60</v>
      </c>
      <c r="W14" s="5" t="s">
        <v>40</v>
      </c>
      <c r="X14" s="5" t="s">
        <v>39</v>
      </c>
      <c r="Y14" s="5" t="s">
        <v>39</v>
      </c>
      <c r="Z14" s="5" t="s">
        <v>41</v>
      </c>
      <c r="AA14" s="5" t="s">
        <v>38</v>
      </c>
      <c r="AB14" s="5" t="s">
        <v>39</v>
      </c>
      <c r="AC14" s="5" t="s">
        <v>40</v>
      </c>
      <c r="AD14" s="5" t="s">
        <v>38</v>
      </c>
      <c r="AE14" s="6" t="s">
        <v>41</v>
      </c>
    </row>
    <row r="15" spans="1:31" x14ac:dyDescent="0.25">
      <c r="A15" s="3" t="s">
        <v>98</v>
      </c>
      <c r="B15" s="3" t="s">
        <v>99</v>
      </c>
      <c r="C15" s="3" t="str">
        <f>+UPPER(Form_Responses[[#This Row],[Nombre completo]])</f>
        <v xml:space="preserve">ANDREA CABARCAS </v>
      </c>
      <c r="D15" s="3">
        <v>34</v>
      </c>
      <c r="E15" s="3" t="s">
        <v>32</v>
      </c>
      <c r="F15" s="3">
        <v>1</v>
      </c>
      <c r="G15" s="3" t="s">
        <v>33</v>
      </c>
      <c r="H15" s="3" t="s">
        <v>100</v>
      </c>
      <c r="I15" s="3" t="str">
        <f>+UPPER(Form_Responses[[#This Row],[Nombre completo de su hija/o]])</f>
        <v xml:space="preserve">MATEO YANGUEZ CABARCAS </v>
      </c>
      <c r="J15" s="3">
        <v>1041981730</v>
      </c>
      <c r="K15" s="3" t="s">
        <v>58</v>
      </c>
      <c r="L15" s="3" t="s">
        <v>101</v>
      </c>
      <c r="M15" s="3" t="s">
        <v>37</v>
      </c>
      <c r="N15" s="3" t="s">
        <v>60</v>
      </c>
      <c r="O15" s="3" t="s">
        <v>39</v>
      </c>
      <c r="P15" s="3" t="s">
        <v>39</v>
      </c>
      <c r="Q15" s="3" t="s">
        <v>40</v>
      </c>
      <c r="R15" s="3" t="s">
        <v>42</v>
      </c>
      <c r="S15" s="3" t="s">
        <v>42</v>
      </c>
      <c r="T15" s="3" t="s">
        <v>42</v>
      </c>
      <c r="U15" s="3" t="s">
        <v>42</v>
      </c>
      <c r="V15" s="3" t="s">
        <v>39</v>
      </c>
      <c r="W15" s="3" t="s">
        <v>38</v>
      </c>
      <c r="X15" s="3" t="s">
        <v>39</v>
      </c>
      <c r="Y15" s="3" t="s">
        <v>42</v>
      </c>
      <c r="Z15" s="3" t="s">
        <v>40</v>
      </c>
      <c r="AA15" s="3" t="s">
        <v>39</v>
      </c>
      <c r="AB15" s="3" t="s">
        <v>39</v>
      </c>
      <c r="AC15" s="3" t="s">
        <v>40</v>
      </c>
      <c r="AD15" s="3" t="s">
        <v>39</v>
      </c>
      <c r="AE15" s="4" t="s">
        <v>42</v>
      </c>
    </row>
    <row r="16" spans="1:31" x14ac:dyDescent="0.25">
      <c r="A16" s="5" t="s">
        <v>102</v>
      </c>
      <c r="B16" s="5" t="s">
        <v>103</v>
      </c>
      <c r="C16" s="5" t="str">
        <f>+UPPER(Form_Responses[[#This Row],[Nombre completo]])</f>
        <v xml:space="preserve">ERMES BAENA ORTEGA </v>
      </c>
      <c r="D16" s="5">
        <v>43</v>
      </c>
      <c r="E16" s="5" t="s">
        <v>104</v>
      </c>
      <c r="F16" s="5">
        <v>1</v>
      </c>
      <c r="G16" s="5" t="s">
        <v>33</v>
      </c>
      <c r="H16" s="5" t="s">
        <v>105</v>
      </c>
      <c r="I16" s="5" t="str">
        <f>+UPPER(Form_Responses[[#This Row],[Nombre completo de su hija/o]])</f>
        <v xml:space="preserve">ELMER DAVID BAENA PAUTH </v>
      </c>
      <c r="J16" s="5">
        <v>1019092165</v>
      </c>
      <c r="K16" s="5" t="s">
        <v>106</v>
      </c>
      <c r="L16" s="5" t="s">
        <v>107</v>
      </c>
      <c r="M16" s="5" t="s">
        <v>37</v>
      </c>
      <c r="N16" s="5" t="s">
        <v>49</v>
      </c>
      <c r="O16" s="5" t="s">
        <v>42</v>
      </c>
      <c r="P16" s="5" t="s">
        <v>49</v>
      </c>
      <c r="Q16" s="5" t="s">
        <v>41</v>
      </c>
      <c r="R16" s="5" t="s">
        <v>49</v>
      </c>
      <c r="S16" s="5" t="s">
        <v>39</v>
      </c>
      <c r="T16" s="5" t="s">
        <v>38</v>
      </c>
      <c r="U16" s="5" t="s">
        <v>49</v>
      </c>
      <c r="V16" s="5" t="s">
        <v>39</v>
      </c>
      <c r="W16" s="5" t="s">
        <v>41</v>
      </c>
      <c r="X16" s="5" t="s">
        <v>41</v>
      </c>
      <c r="Y16" s="5" t="s">
        <v>39</v>
      </c>
      <c r="Z16" s="5" t="s">
        <v>41</v>
      </c>
      <c r="AA16" s="5" t="s">
        <v>39</v>
      </c>
      <c r="AB16" s="5" t="s">
        <v>39</v>
      </c>
      <c r="AC16" s="5" t="s">
        <v>42</v>
      </c>
      <c r="AD16" s="5" t="s">
        <v>42</v>
      </c>
      <c r="AE16" s="6" t="s">
        <v>41</v>
      </c>
    </row>
    <row r="17" spans="1:31" x14ac:dyDescent="0.25">
      <c r="A17" s="3" t="s">
        <v>108</v>
      </c>
      <c r="B17" s="3" t="s">
        <v>109</v>
      </c>
      <c r="C17" s="3" t="str">
        <f>+UPPER(Form_Responses[[#This Row],[Nombre completo]])</f>
        <v xml:space="preserve">KETTY MONTES VILLADIEGO </v>
      </c>
      <c r="D17" s="3">
        <v>41</v>
      </c>
      <c r="E17" s="3" t="s">
        <v>32</v>
      </c>
      <c r="F17" s="3">
        <v>1</v>
      </c>
      <c r="G17" s="3" t="s">
        <v>63</v>
      </c>
      <c r="H17" s="3" t="s">
        <v>110</v>
      </c>
      <c r="I17" s="3" t="str">
        <f>+UPPER(Form_Responses[[#This Row],[Nombre completo de su hija/o]])</f>
        <v xml:space="preserve">SILVANA SEMACARIT MONTES </v>
      </c>
      <c r="J17" s="3">
        <v>1043989724</v>
      </c>
      <c r="K17" s="3" t="s">
        <v>111</v>
      </c>
      <c r="L17" s="3" t="s">
        <v>112</v>
      </c>
      <c r="M17" s="3" t="s">
        <v>37</v>
      </c>
      <c r="N17" s="3" t="s">
        <v>40</v>
      </c>
      <c r="O17" s="3" t="s">
        <v>49</v>
      </c>
      <c r="P17" s="3" t="s">
        <v>49</v>
      </c>
      <c r="Q17" s="3" t="s">
        <v>42</v>
      </c>
      <c r="R17" s="3" t="s">
        <v>42</v>
      </c>
      <c r="S17" s="3" t="s">
        <v>60</v>
      </c>
      <c r="T17" s="3" t="s">
        <v>38</v>
      </c>
      <c r="U17" s="3" t="s">
        <v>42</v>
      </c>
      <c r="V17" s="3" t="s">
        <v>60</v>
      </c>
      <c r="W17" s="3" t="s">
        <v>40</v>
      </c>
      <c r="X17" s="3" t="s">
        <v>40</v>
      </c>
      <c r="Y17" s="3" t="s">
        <v>39</v>
      </c>
      <c r="Z17" s="3" t="s">
        <v>42</v>
      </c>
      <c r="AA17" s="3" t="s">
        <v>39</v>
      </c>
      <c r="AB17" s="3" t="s">
        <v>39</v>
      </c>
      <c r="AC17" s="3" t="s">
        <v>39</v>
      </c>
      <c r="AD17" s="3" t="s">
        <v>42</v>
      </c>
      <c r="AE17" s="4" t="s">
        <v>42</v>
      </c>
    </row>
    <row r="18" spans="1:31" x14ac:dyDescent="0.25">
      <c r="A18" s="5" t="s">
        <v>113</v>
      </c>
      <c r="B18" s="5" t="s">
        <v>114</v>
      </c>
      <c r="C18" s="5" t="str">
        <f>+UPPER(Form_Responses[[#This Row],[Nombre completo]])</f>
        <v>ANA MILENA AGAMEZ DIAZ</v>
      </c>
      <c r="D18" s="5">
        <v>37</v>
      </c>
      <c r="E18" s="5" t="s">
        <v>32</v>
      </c>
      <c r="F18" s="5">
        <v>1</v>
      </c>
      <c r="G18" s="5" t="s">
        <v>33</v>
      </c>
      <c r="H18" s="5" t="s">
        <v>115</v>
      </c>
      <c r="I18" s="5" t="str">
        <f>+UPPER(Form_Responses[[#This Row],[Nombre completo de su hija/o]])</f>
        <v>JADETH MILEN CAÑATE AGAMEZ</v>
      </c>
      <c r="J18" s="5">
        <v>1048942409</v>
      </c>
      <c r="K18" s="5" t="s">
        <v>116</v>
      </c>
      <c r="L18" s="5" t="s">
        <v>117</v>
      </c>
      <c r="M18" s="5" t="s">
        <v>37</v>
      </c>
      <c r="N18" s="5" t="s">
        <v>38</v>
      </c>
      <c r="O18" s="5" t="s">
        <v>42</v>
      </c>
      <c r="P18" s="5" t="s">
        <v>60</v>
      </c>
      <c r="Q18" s="5" t="s">
        <v>38</v>
      </c>
      <c r="R18" s="5" t="s">
        <v>42</v>
      </c>
      <c r="S18" s="5" t="s">
        <v>49</v>
      </c>
      <c r="T18" s="5" t="s">
        <v>39</v>
      </c>
      <c r="U18" s="5" t="s">
        <v>42</v>
      </c>
      <c r="V18" s="5" t="s">
        <v>60</v>
      </c>
      <c r="W18" s="5" t="s">
        <v>41</v>
      </c>
      <c r="X18" s="5" t="s">
        <v>49</v>
      </c>
      <c r="Y18" s="5" t="s">
        <v>49</v>
      </c>
      <c r="Z18" s="5" t="s">
        <v>40</v>
      </c>
      <c r="AA18" s="5" t="s">
        <v>60</v>
      </c>
      <c r="AB18" s="5" t="s">
        <v>49</v>
      </c>
      <c r="AC18" s="5" t="s">
        <v>41</v>
      </c>
      <c r="AD18" s="5" t="s">
        <v>49</v>
      </c>
      <c r="AE18" s="6" t="s">
        <v>39</v>
      </c>
    </row>
    <row r="19" spans="1:31" x14ac:dyDescent="0.25">
      <c r="A19" s="3" t="s">
        <v>118</v>
      </c>
      <c r="B19" s="3" t="s">
        <v>119</v>
      </c>
      <c r="C19" s="3" t="str">
        <f>+UPPER(Form_Responses[[#This Row],[Nombre completo]])</f>
        <v xml:space="preserve">INÉS SEPÚLVEDA RIOS </v>
      </c>
      <c r="D19" s="3">
        <v>55</v>
      </c>
      <c r="E19" s="3" t="s">
        <v>32</v>
      </c>
      <c r="F19" s="3">
        <v>1</v>
      </c>
      <c r="G19" s="3" t="s">
        <v>33</v>
      </c>
      <c r="H19" s="3" t="s">
        <v>120</v>
      </c>
      <c r="I19" s="3" t="str">
        <f>+UPPER(Form_Responses[[#This Row],[Nombre completo de su hija/o]])</f>
        <v xml:space="preserve">ANDRÉS MAURICIO MEDRANO SEPÚLVEDA </v>
      </c>
      <c r="J19" s="3">
        <v>1201226770</v>
      </c>
      <c r="K19" s="3" t="s">
        <v>121</v>
      </c>
      <c r="L19" s="3" t="s">
        <v>122</v>
      </c>
      <c r="M19" s="3" t="s">
        <v>37</v>
      </c>
      <c r="N19" s="3" t="s">
        <v>40</v>
      </c>
      <c r="O19" s="3" t="s">
        <v>42</v>
      </c>
      <c r="P19" s="3" t="s">
        <v>39</v>
      </c>
      <c r="Q19" s="3" t="s">
        <v>38</v>
      </c>
      <c r="R19" s="3" t="s">
        <v>38</v>
      </c>
      <c r="S19" s="3" t="s">
        <v>39</v>
      </c>
      <c r="T19" s="3" t="s">
        <v>38</v>
      </c>
      <c r="U19" s="3" t="s">
        <v>39</v>
      </c>
      <c r="V19" s="3" t="s">
        <v>39</v>
      </c>
      <c r="W19" s="3" t="s">
        <v>39</v>
      </c>
      <c r="X19" s="3" t="s">
        <v>39</v>
      </c>
      <c r="Y19" s="3" t="s">
        <v>39</v>
      </c>
      <c r="Z19" s="3" t="s">
        <v>39</v>
      </c>
      <c r="AA19" s="3" t="s">
        <v>38</v>
      </c>
      <c r="AB19" s="3" t="s">
        <v>39</v>
      </c>
      <c r="AC19" s="3" t="s">
        <v>39</v>
      </c>
      <c r="AD19" s="3" t="s">
        <v>42</v>
      </c>
      <c r="AE19" s="4" t="s">
        <v>39</v>
      </c>
    </row>
    <row r="20" spans="1:31" x14ac:dyDescent="0.25">
      <c r="A20" s="5" t="s">
        <v>123</v>
      </c>
      <c r="B20" s="5" t="s">
        <v>124</v>
      </c>
      <c r="C20" s="5" t="str">
        <f>+UPPER(Form_Responses[[#This Row],[Nombre completo]])</f>
        <v>SINDY LOPEZ AGAMEZ</v>
      </c>
      <c r="D20" s="5">
        <v>37</v>
      </c>
      <c r="E20" s="5" t="s">
        <v>32</v>
      </c>
      <c r="F20" s="5">
        <v>1</v>
      </c>
      <c r="G20" s="5" t="s">
        <v>63</v>
      </c>
      <c r="H20" s="5" t="s">
        <v>125</v>
      </c>
      <c r="I20" s="5" t="str">
        <f>+UPPER(Form_Responses[[#This Row],[Nombre completo de su hija/o]])</f>
        <v>LUIS FERNANDO ELLES REYES</v>
      </c>
      <c r="J20" s="5">
        <v>1143343200</v>
      </c>
      <c r="K20" s="5" t="s">
        <v>126</v>
      </c>
      <c r="L20" s="5">
        <v>9</v>
      </c>
      <c r="M20" s="5" t="s">
        <v>37</v>
      </c>
      <c r="N20" s="5" t="s">
        <v>39</v>
      </c>
      <c r="O20" s="5" t="s">
        <v>39</v>
      </c>
      <c r="P20" s="5" t="s">
        <v>60</v>
      </c>
      <c r="Q20" s="5" t="s">
        <v>38</v>
      </c>
      <c r="R20" s="5" t="s">
        <v>38</v>
      </c>
      <c r="S20" s="5" t="s">
        <v>39</v>
      </c>
      <c r="T20" s="5" t="s">
        <v>38</v>
      </c>
      <c r="U20" s="5" t="s">
        <v>40</v>
      </c>
      <c r="V20" s="5" t="s">
        <v>49</v>
      </c>
      <c r="W20" s="5" t="s">
        <v>38</v>
      </c>
      <c r="X20" s="5" t="s">
        <v>49</v>
      </c>
      <c r="Y20" s="5" t="s">
        <v>60</v>
      </c>
      <c r="Z20" s="5" t="s">
        <v>38</v>
      </c>
      <c r="AA20" s="5" t="s">
        <v>40</v>
      </c>
      <c r="AB20" s="5" t="s">
        <v>49</v>
      </c>
      <c r="AC20" s="5" t="s">
        <v>38</v>
      </c>
      <c r="AD20" s="5" t="s">
        <v>39</v>
      </c>
      <c r="AE20" s="6" t="s">
        <v>39</v>
      </c>
    </row>
    <row r="21" spans="1:31" x14ac:dyDescent="0.25">
      <c r="A21" s="3" t="s">
        <v>127</v>
      </c>
      <c r="B21" s="3" t="s">
        <v>128</v>
      </c>
      <c r="C21" s="3" t="str">
        <f>+UPPER(Form_Responses[[#This Row],[Nombre completo]])</f>
        <v xml:space="preserve">YOHANIS CANABAL POLO </v>
      </c>
      <c r="D21" s="3">
        <v>36</v>
      </c>
      <c r="E21" s="3" t="s">
        <v>32</v>
      </c>
      <c r="F21" s="3">
        <v>2</v>
      </c>
      <c r="G21" s="3" t="s">
        <v>46</v>
      </c>
      <c r="H21" s="3" t="s">
        <v>129</v>
      </c>
      <c r="I21" s="3" t="str">
        <f>+UPPER(Form_Responses[[#This Row],[Nombre completo de su hija/o]])</f>
        <v xml:space="preserve">LUIS ALEJANDRO GONZALEZ CANABAL </v>
      </c>
      <c r="J21" s="3">
        <v>1142930960</v>
      </c>
      <c r="K21" s="3" t="s">
        <v>121</v>
      </c>
      <c r="L21" s="3" t="s">
        <v>130</v>
      </c>
      <c r="M21" s="3" t="s">
        <v>37</v>
      </c>
      <c r="N21" s="3" t="s">
        <v>38</v>
      </c>
      <c r="O21" s="3" t="s">
        <v>38</v>
      </c>
      <c r="P21" s="3" t="s">
        <v>60</v>
      </c>
      <c r="Q21" s="3" t="s">
        <v>40</v>
      </c>
      <c r="R21" s="3" t="s">
        <v>40</v>
      </c>
      <c r="S21" s="3" t="s">
        <v>60</v>
      </c>
      <c r="T21" s="3" t="s">
        <v>38</v>
      </c>
      <c r="U21" s="3" t="s">
        <v>41</v>
      </c>
      <c r="V21" s="3" t="s">
        <v>60</v>
      </c>
      <c r="W21" s="3" t="s">
        <v>40</v>
      </c>
      <c r="X21" s="3" t="s">
        <v>38</v>
      </c>
      <c r="Y21" s="3" t="s">
        <v>60</v>
      </c>
      <c r="Z21" s="3" t="s">
        <v>38</v>
      </c>
      <c r="AA21" s="3" t="s">
        <v>49</v>
      </c>
      <c r="AB21" s="3" t="s">
        <v>60</v>
      </c>
      <c r="AC21" s="3" t="s">
        <v>39</v>
      </c>
      <c r="AD21" s="3" t="s">
        <v>49</v>
      </c>
      <c r="AE21" s="4" t="s">
        <v>40</v>
      </c>
    </row>
    <row r="22" spans="1:31" x14ac:dyDescent="0.25">
      <c r="A22" s="5" t="s">
        <v>131</v>
      </c>
      <c r="B22" s="5" t="s">
        <v>132</v>
      </c>
      <c r="C22" s="5" t="str">
        <f>+UPPER(Form_Responses[[#This Row],[Nombre completo]])</f>
        <v>DIANA MARCELA SIMANCA PASTRANA</v>
      </c>
      <c r="D22" s="5" t="s">
        <v>133</v>
      </c>
      <c r="E22" s="5" t="s">
        <v>32</v>
      </c>
      <c r="F22" s="5">
        <v>1</v>
      </c>
      <c r="G22" s="5" t="s">
        <v>33</v>
      </c>
      <c r="H22" s="5" t="s">
        <v>134</v>
      </c>
      <c r="I22" s="5" t="str">
        <f>+UPPER(Form_Responses[[#This Row],[Nombre completo de su hija/o]])</f>
        <v xml:space="preserve">DIEGO ALGARIN SIMANCA </v>
      </c>
      <c r="J22" s="5">
        <v>1066743507</v>
      </c>
      <c r="K22" s="5" t="s">
        <v>48</v>
      </c>
      <c r="L22" s="5" t="s">
        <v>135</v>
      </c>
      <c r="M22" s="5" t="s">
        <v>37</v>
      </c>
      <c r="N22" s="5" t="s">
        <v>38</v>
      </c>
      <c r="O22" s="5" t="s">
        <v>60</v>
      </c>
      <c r="P22" s="5" t="s">
        <v>60</v>
      </c>
      <c r="Q22" s="5" t="s">
        <v>40</v>
      </c>
      <c r="R22" s="5" t="s">
        <v>41</v>
      </c>
      <c r="S22" s="5" t="s">
        <v>60</v>
      </c>
      <c r="T22" s="5" t="s">
        <v>39</v>
      </c>
      <c r="U22" s="5" t="s">
        <v>39</v>
      </c>
      <c r="V22" s="5" t="s">
        <v>60</v>
      </c>
      <c r="W22" s="5" t="s">
        <v>40</v>
      </c>
      <c r="X22" s="5" t="s">
        <v>49</v>
      </c>
      <c r="Y22" s="5" t="s">
        <v>42</v>
      </c>
      <c r="Z22" s="5" t="s">
        <v>40</v>
      </c>
      <c r="AA22" s="5" t="s">
        <v>39</v>
      </c>
      <c r="AB22" s="5" t="s">
        <v>49</v>
      </c>
      <c r="AC22" s="5" t="s">
        <v>40</v>
      </c>
      <c r="AD22" s="5" t="s">
        <v>60</v>
      </c>
      <c r="AE22" s="6" t="s">
        <v>40</v>
      </c>
    </row>
    <row r="23" spans="1:31" x14ac:dyDescent="0.25">
      <c r="A23" s="3" t="s">
        <v>136</v>
      </c>
      <c r="B23" s="3" t="s">
        <v>137</v>
      </c>
      <c r="C23" s="3" t="str">
        <f>+UPPER(Form_Responses[[#This Row],[Nombre completo]])</f>
        <v xml:space="preserve">KELLY MARÍA ACUÑA MENCO </v>
      </c>
      <c r="D23" s="3">
        <v>35</v>
      </c>
      <c r="E23" s="3" t="s">
        <v>32</v>
      </c>
      <c r="F23" s="3">
        <v>1</v>
      </c>
      <c r="G23" s="3" t="s">
        <v>63</v>
      </c>
      <c r="H23" s="3" t="s">
        <v>138</v>
      </c>
      <c r="I23" s="3" t="str">
        <f>+UPPER(Form_Responses[[#This Row],[Nombre completo de su hija/o]])</f>
        <v xml:space="preserve">SANTIAGO LEÓN ACUÑA </v>
      </c>
      <c r="J23" s="3">
        <v>1137531827</v>
      </c>
      <c r="K23" s="3" t="s">
        <v>65</v>
      </c>
      <c r="L23" s="3" t="s">
        <v>59</v>
      </c>
      <c r="M23" s="3" t="s">
        <v>37</v>
      </c>
      <c r="N23" s="3" t="s">
        <v>40</v>
      </c>
      <c r="O23" s="3" t="s">
        <v>42</v>
      </c>
      <c r="P23" s="3" t="s">
        <v>39</v>
      </c>
      <c r="Q23" s="3" t="s">
        <v>40</v>
      </c>
      <c r="R23" s="3" t="s">
        <v>38</v>
      </c>
      <c r="S23" s="3" t="s">
        <v>39</v>
      </c>
      <c r="T23" s="3" t="s">
        <v>39</v>
      </c>
      <c r="U23" s="3" t="s">
        <v>42</v>
      </c>
      <c r="V23" s="3" t="s">
        <v>39</v>
      </c>
      <c r="W23" s="3" t="s">
        <v>40</v>
      </c>
      <c r="X23" s="3" t="s">
        <v>41</v>
      </c>
      <c r="Y23" s="3" t="s">
        <v>39</v>
      </c>
      <c r="Z23" s="3" t="s">
        <v>38</v>
      </c>
      <c r="AA23" s="3" t="s">
        <v>39</v>
      </c>
      <c r="AB23" s="3" t="s">
        <v>39</v>
      </c>
      <c r="AC23" s="3" t="s">
        <v>41</v>
      </c>
      <c r="AD23" s="3" t="s">
        <v>41</v>
      </c>
      <c r="AE23" s="4" t="s">
        <v>41</v>
      </c>
    </row>
    <row r="24" spans="1:31" x14ac:dyDescent="0.25">
      <c r="A24" s="5" t="s">
        <v>139</v>
      </c>
      <c r="B24" s="5" t="s">
        <v>140</v>
      </c>
      <c r="C24" s="5" t="str">
        <f>+UPPER(Form_Responses[[#This Row],[Nombre completo]])</f>
        <v xml:space="preserve">SUGEY MENDEZ GUERRA </v>
      </c>
      <c r="D24" s="5" t="s">
        <v>141</v>
      </c>
      <c r="E24" s="5" t="s">
        <v>32</v>
      </c>
      <c r="F24" s="5">
        <v>2</v>
      </c>
      <c r="G24" s="5" t="s">
        <v>63</v>
      </c>
      <c r="H24" s="5" t="s">
        <v>142</v>
      </c>
      <c r="I24" s="5" t="str">
        <f>+UPPER(Form_Responses[[#This Row],[Nombre completo de su hija/o]])</f>
        <v xml:space="preserve">TALIANA SIERRA MENDEZ </v>
      </c>
      <c r="J24" s="5">
        <v>1049584330</v>
      </c>
      <c r="K24" s="5" t="s">
        <v>85</v>
      </c>
      <c r="L24" s="5">
        <v>8</v>
      </c>
      <c r="M24" s="5" t="s">
        <v>37</v>
      </c>
      <c r="N24" s="5" t="s">
        <v>40</v>
      </c>
      <c r="O24" s="5" t="s">
        <v>38</v>
      </c>
      <c r="P24" s="5" t="s">
        <v>39</v>
      </c>
      <c r="Q24" s="5" t="s">
        <v>41</v>
      </c>
      <c r="R24" s="5" t="s">
        <v>42</v>
      </c>
      <c r="S24" s="5" t="s">
        <v>60</v>
      </c>
      <c r="T24" s="5" t="s">
        <v>38</v>
      </c>
      <c r="U24" s="5" t="s">
        <v>39</v>
      </c>
      <c r="V24" s="5" t="s">
        <v>39</v>
      </c>
      <c r="W24" s="5" t="s">
        <v>40</v>
      </c>
      <c r="X24" s="5" t="s">
        <v>49</v>
      </c>
      <c r="Y24" s="5" t="s">
        <v>41</v>
      </c>
      <c r="Z24" s="5" t="s">
        <v>40</v>
      </c>
      <c r="AA24" s="5" t="s">
        <v>41</v>
      </c>
      <c r="AB24" s="5" t="s">
        <v>49</v>
      </c>
      <c r="AC24" s="5" t="s">
        <v>41</v>
      </c>
      <c r="AD24" s="5" t="s">
        <v>41</v>
      </c>
      <c r="AE24" s="6" t="s">
        <v>40</v>
      </c>
    </row>
    <row r="25" spans="1:31" x14ac:dyDescent="0.25">
      <c r="A25" s="3" t="s">
        <v>143</v>
      </c>
      <c r="B25" s="3" t="s">
        <v>144</v>
      </c>
      <c r="C25" s="3" t="str">
        <f>+UPPER(Form_Responses[[#This Row],[Nombre completo]])</f>
        <v xml:space="preserve">ELDIS MARTINEZ </v>
      </c>
      <c r="D25" s="3">
        <v>35</v>
      </c>
      <c r="E25" s="3" t="s">
        <v>32</v>
      </c>
      <c r="F25" s="3">
        <v>2</v>
      </c>
      <c r="G25" s="3" t="s">
        <v>63</v>
      </c>
      <c r="H25" s="3" t="s">
        <v>145</v>
      </c>
      <c r="I25" s="3" t="str">
        <f>+UPPER(Form_Responses[[#This Row],[Nombre completo de su hija/o]])</f>
        <v xml:space="preserve">MATÍAS PEÑALOZA </v>
      </c>
      <c r="J25" s="3">
        <v>1201229756</v>
      </c>
      <c r="K25" s="3" t="s">
        <v>65</v>
      </c>
      <c r="L25" s="3">
        <v>8</v>
      </c>
      <c r="M25" s="3" t="s">
        <v>81</v>
      </c>
      <c r="N25" s="3" t="s">
        <v>40</v>
      </c>
      <c r="O25" s="3" t="s">
        <v>38</v>
      </c>
      <c r="P25" s="3" t="s">
        <v>39</v>
      </c>
      <c r="Q25" s="3" t="s">
        <v>40</v>
      </c>
      <c r="R25" s="3" t="s">
        <v>38</v>
      </c>
      <c r="S25" s="3" t="s">
        <v>39</v>
      </c>
      <c r="T25" s="3" t="s">
        <v>38</v>
      </c>
      <c r="U25" s="3" t="s">
        <v>38</v>
      </c>
      <c r="V25" s="3" t="s">
        <v>39</v>
      </c>
      <c r="W25" s="3" t="s">
        <v>39</v>
      </c>
      <c r="X25" s="3" t="s">
        <v>39</v>
      </c>
      <c r="Y25" s="3" t="s">
        <v>39</v>
      </c>
      <c r="Z25" s="3" t="s">
        <v>38</v>
      </c>
      <c r="AA25" s="3" t="s">
        <v>39</v>
      </c>
      <c r="AB25" s="3" t="s">
        <v>39</v>
      </c>
      <c r="AC25" s="3" t="s">
        <v>38</v>
      </c>
      <c r="AD25" s="3" t="s">
        <v>39</v>
      </c>
      <c r="AE25" s="4" t="s">
        <v>38</v>
      </c>
    </row>
    <row r="26" spans="1:31" x14ac:dyDescent="0.25">
      <c r="A26" s="5" t="s">
        <v>146</v>
      </c>
      <c r="B26" s="5" t="s">
        <v>147</v>
      </c>
      <c r="C26" s="5" t="str">
        <f>+UPPER(Form_Responses[[#This Row],[Nombre completo]])</f>
        <v xml:space="preserve">ANA CARMELA LÓPEZ PADILLA </v>
      </c>
      <c r="D26" s="5">
        <v>40</v>
      </c>
      <c r="E26" s="5" t="s">
        <v>32</v>
      </c>
      <c r="F26" s="5">
        <v>1</v>
      </c>
      <c r="G26" s="5" t="s">
        <v>33</v>
      </c>
      <c r="H26" s="5" t="s">
        <v>148</v>
      </c>
      <c r="I26" s="5" t="str">
        <f>+UPPER(Form_Responses[[#This Row],[Nombre completo de su hija/o]])</f>
        <v xml:space="preserve">NELSY SOFÍA RODRÍGUEZ LÓPEZ </v>
      </c>
      <c r="J26" s="5">
        <v>1041987678</v>
      </c>
      <c r="K26" s="5" t="s">
        <v>149</v>
      </c>
      <c r="L26" s="5">
        <v>9</v>
      </c>
      <c r="M26" s="5" t="s">
        <v>37</v>
      </c>
      <c r="N26" s="5" t="s">
        <v>42</v>
      </c>
      <c r="O26" s="5" t="s">
        <v>42</v>
      </c>
      <c r="P26" s="5" t="s">
        <v>39</v>
      </c>
      <c r="Q26" s="5" t="s">
        <v>38</v>
      </c>
      <c r="R26" s="5" t="s">
        <v>38</v>
      </c>
      <c r="S26" s="5" t="s">
        <v>60</v>
      </c>
      <c r="T26" s="5" t="s">
        <v>38</v>
      </c>
      <c r="U26" s="5" t="s">
        <v>38</v>
      </c>
      <c r="V26" s="5" t="s">
        <v>42</v>
      </c>
      <c r="W26" s="5" t="s">
        <v>38</v>
      </c>
      <c r="X26" s="5" t="s">
        <v>39</v>
      </c>
      <c r="Y26" s="5" t="s">
        <v>38</v>
      </c>
      <c r="Z26" s="5" t="s">
        <v>38</v>
      </c>
      <c r="AA26" s="5" t="s">
        <v>38</v>
      </c>
      <c r="AB26" s="5" t="s">
        <v>42</v>
      </c>
      <c r="AC26" s="5" t="s">
        <v>38</v>
      </c>
      <c r="AD26" s="5" t="s">
        <v>38</v>
      </c>
      <c r="AE26" s="6" t="s">
        <v>39</v>
      </c>
    </row>
    <row r="27" spans="1:31" x14ac:dyDescent="0.25">
      <c r="A27" s="3" t="s">
        <v>150</v>
      </c>
      <c r="B27" s="3" t="s">
        <v>151</v>
      </c>
      <c r="C27" s="3" t="str">
        <f>+UPPER(Form_Responses[[#This Row],[Nombre completo]])</f>
        <v>LESLI FORERO</v>
      </c>
      <c r="D27" s="3">
        <v>33</v>
      </c>
      <c r="E27" s="3" t="s">
        <v>32</v>
      </c>
      <c r="F27" s="3">
        <v>3</v>
      </c>
      <c r="G27" s="3" t="s">
        <v>46</v>
      </c>
      <c r="H27" s="3" t="s">
        <v>152</v>
      </c>
      <c r="I27" s="3" t="str">
        <f>+UPPER(Form_Responses[[#This Row],[Nombre completo de su hija/o]])</f>
        <v xml:space="preserve">EMMANUEL ROBINSON FORERO </v>
      </c>
      <c r="J27" s="3">
        <v>1013633833</v>
      </c>
      <c r="K27" s="3" t="s">
        <v>126</v>
      </c>
      <c r="L27" s="3" t="s">
        <v>59</v>
      </c>
      <c r="M27" s="3" t="s">
        <v>37</v>
      </c>
      <c r="N27" s="3" t="s">
        <v>40</v>
      </c>
      <c r="O27" s="3" t="s">
        <v>38</v>
      </c>
      <c r="P27" s="3" t="s">
        <v>49</v>
      </c>
      <c r="Q27" s="3" t="s">
        <v>40</v>
      </c>
      <c r="R27" s="3" t="s">
        <v>40</v>
      </c>
      <c r="S27" s="3" t="s">
        <v>39</v>
      </c>
      <c r="T27" s="3" t="s">
        <v>40</v>
      </c>
      <c r="U27" s="3" t="s">
        <v>38</v>
      </c>
      <c r="V27" s="3" t="s">
        <v>60</v>
      </c>
      <c r="W27" s="3" t="s">
        <v>40</v>
      </c>
      <c r="X27" s="3" t="s">
        <v>39</v>
      </c>
      <c r="Y27" s="3" t="s">
        <v>39</v>
      </c>
      <c r="Z27" s="3" t="s">
        <v>41</v>
      </c>
      <c r="AA27" s="3" t="s">
        <v>39</v>
      </c>
      <c r="AB27" s="3" t="s">
        <v>60</v>
      </c>
      <c r="AC27" s="3" t="s">
        <v>38</v>
      </c>
      <c r="AD27" s="3" t="s">
        <v>41</v>
      </c>
      <c r="AE27" s="4" t="s">
        <v>39</v>
      </c>
    </row>
    <row r="28" spans="1:31" x14ac:dyDescent="0.25">
      <c r="A28" s="5" t="s">
        <v>153</v>
      </c>
      <c r="B28" s="5" t="s">
        <v>154</v>
      </c>
      <c r="C28" s="5" t="str">
        <f>+UPPER(Form_Responses[[#This Row],[Nombre completo]])</f>
        <v>IRIS DEL CARMEN GUERRERO LIÑAN</v>
      </c>
      <c r="D28" s="5">
        <v>53</v>
      </c>
      <c r="E28" s="5" t="s">
        <v>32</v>
      </c>
      <c r="F28" s="5">
        <v>1</v>
      </c>
      <c r="G28" s="5" t="s">
        <v>155</v>
      </c>
      <c r="H28" s="5" t="s">
        <v>156</v>
      </c>
      <c r="I28" s="5" t="str">
        <f>+UPPER(Form_Responses[[#This Row],[Nombre completo de su hija/o]])</f>
        <v xml:space="preserve">LIONEL EDUARDO VARGAS GUERRERO </v>
      </c>
      <c r="J28" s="5">
        <v>1052737856</v>
      </c>
      <c r="K28" s="5" t="s">
        <v>157</v>
      </c>
      <c r="L28" s="5" t="s">
        <v>158</v>
      </c>
      <c r="M28" s="5" t="s">
        <v>37</v>
      </c>
      <c r="N28" s="5" t="s">
        <v>40</v>
      </c>
      <c r="O28" s="5" t="s">
        <v>41</v>
      </c>
      <c r="P28" s="5" t="s">
        <v>39</v>
      </c>
      <c r="Q28" s="5" t="s">
        <v>41</v>
      </c>
      <c r="R28" s="5" t="s">
        <v>41</v>
      </c>
      <c r="S28" s="5" t="s">
        <v>41</v>
      </c>
      <c r="T28" s="5" t="s">
        <v>40</v>
      </c>
      <c r="U28" s="5" t="s">
        <v>41</v>
      </c>
      <c r="V28" s="5" t="s">
        <v>41</v>
      </c>
      <c r="W28" s="5" t="s">
        <v>40</v>
      </c>
      <c r="X28" s="5" t="s">
        <v>60</v>
      </c>
      <c r="Y28" s="5" t="s">
        <v>60</v>
      </c>
      <c r="Z28" s="5" t="s">
        <v>41</v>
      </c>
      <c r="AA28" s="5" t="s">
        <v>40</v>
      </c>
      <c r="AB28" s="5" t="s">
        <v>40</v>
      </c>
      <c r="AC28" s="5" t="s">
        <v>49</v>
      </c>
      <c r="AD28" s="5" t="s">
        <v>40</v>
      </c>
      <c r="AE28" s="6" t="s">
        <v>40</v>
      </c>
    </row>
    <row r="29" spans="1:31" x14ac:dyDescent="0.25">
      <c r="A29" s="3" t="s">
        <v>159</v>
      </c>
      <c r="B29" s="3" t="s">
        <v>160</v>
      </c>
      <c r="C29" s="3" t="str">
        <f>+UPPER(Form_Responses[[#This Row],[Nombre completo]])</f>
        <v xml:space="preserve">ANA CANTILLO </v>
      </c>
      <c r="D29" s="3">
        <v>40</v>
      </c>
      <c r="E29" s="3" t="s">
        <v>32</v>
      </c>
      <c r="F29" s="3">
        <v>1</v>
      </c>
      <c r="G29" s="3" t="s">
        <v>33</v>
      </c>
      <c r="H29" s="3" t="s">
        <v>161</v>
      </c>
      <c r="I29" s="3" t="str">
        <f>+UPPER(Form_Responses[[#This Row],[Nombre completo de su hija/o]])</f>
        <v xml:space="preserve">RONI ATENCIA </v>
      </c>
      <c r="J29" s="3">
        <v>1051987969</v>
      </c>
      <c r="K29" s="3" t="s">
        <v>162</v>
      </c>
      <c r="L29" s="3" t="s">
        <v>130</v>
      </c>
      <c r="M29" s="3" t="s">
        <v>37</v>
      </c>
      <c r="N29" s="3" t="s">
        <v>60</v>
      </c>
      <c r="O29" s="3" t="s">
        <v>60</v>
      </c>
      <c r="P29" s="3" t="s">
        <v>49</v>
      </c>
      <c r="Q29" s="3" t="s">
        <v>41</v>
      </c>
      <c r="R29" s="3" t="s">
        <v>42</v>
      </c>
      <c r="S29" s="3" t="s">
        <v>60</v>
      </c>
      <c r="T29" s="3" t="s">
        <v>49</v>
      </c>
      <c r="U29" s="3" t="s">
        <v>38</v>
      </c>
      <c r="V29" s="3" t="s">
        <v>60</v>
      </c>
      <c r="W29" s="3" t="s">
        <v>60</v>
      </c>
      <c r="X29" s="3" t="s">
        <v>40</v>
      </c>
      <c r="Y29" s="3" t="s">
        <v>60</v>
      </c>
      <c r="Z29" s="3" t="s">
        <v>41</v>
      </c>
      <c r="AA29" s="3" t="s">
        <v>49</v>
      </c>
      <c r="AB29" s="3" t="s">
        <v>49</v>
      </c>
      <c r="AC29" s="3" t="s">
        <v>60</v>
      </c>
      <c r="AD29" s="3" t="s">
        <v>49</v>
      </c>
      <c r="AE29" s="4" t="s">
        <v>60</v>
      </c>
    </row>
    <row r="30" spans="1:31" x14ac:dyDescent="0.25">
      <c r="A30" s="5" t="s">
        <v>163</v>
      </c>
      <c r="B30" s="5" t="s">
        <v>164</v>
      </c>
      <c r="C30" s="5" t="str">
        <f>+UPPER(Form_Responses[[#This Row],[Nombre completo]])</f>
        <v>DIANA PATRICIA ARÉVALO DE ORO</v>
      </c>
      <c r="D30" s="5">
        <v>36</v>
      </c>
      <c r="E30" s="5" t="s">
        <v>32</v>
      </c>
      <c r="F30" s="5">
        <v>1</v>
      </c>
      <c r="G30" s="5" t="s">
        <v>33</v>
      </c>
      <c r="H30" s="5" t="s">
        <v>165</v>
      </c>
      <c r="I30" s="5" t="str">
        <f>+UPPER(Form_Responses[[#This Row],[Nombre completo de su hija/o]])</f>
        <v>HOLMAN RAFAEL BALOCO AREVALO</v>
      </c>
      <c r="J30" s="5">
        <v>1201229121</v>
      </c>
      <c r="K30" s="5" t="s">
        <v>85</v>
      </c>
      <c r="L30" s="5">
        <v>8</v>
      </c>
      <c r="M30" s="5" t="s">
        <v>81</v>
      </c>
      <c r="N30" s="5" t="s">
        <v>38</v>
      </c>
      <c r="O30" s="5" t="s">
        <v>38</v>
      </c>
      <c r="P30" s="5" t="s">
        <v>49</v>
      </c>
      <c r="Q30" s="5" t="s">
        <v>38</v>
      </c>
      <c r="R30" s="5" t="s">
        <v>41</v>
      </c>
      <c r="S30" s="5" t="s">
        <v>49</v>
      </c>
      <c r="T30" s="5" t="s">
        <v>40</v>
      </c>
      <c r="U30" s="5" t="s">
        <v>38</v>
      </c>
      <c r="V30" s="5" t="s">
        <v>49</v>
      </c>
      <c r="W30" s="5" t="s">
        <v>40</v>
      </c>
      <c r="X30" s="5" t="s">
        <v>40</v>
      </c>
      <c r="Y30" s="5" t="s">
        <v>49</v>
      </c>
      <c r="Z30" s="5" t="s">
        <v>40</v>
      </c>
      <c r="AA30" s="5" t="s">
        <v>49</v>
      </c>
      <c r="AB30" s="5" t="s">
        <v>49</v>
      </c>
      <c r="AC30" s="5" t="s">
        <v>40</v>
      </c>
      <c r="AD30" s="5" t="s">
        <v>42</v>
      </c>
      <c r="AE30" s="6" t="s">
        <v>60</v>
      </c>
    </row>
    <row r="31" spans="1:31" x14ac:dyDescent="0.25">
      <c r="A31" s="3" t="s">
        <v>166</v>
      </c>
      <c r="B31" s="3" t="s">
        <v>167</v>
      </c>
      <c r="C31" s="3" t="str">
        <f>+UPPER(Form_Responses[[#This Row],[Nombre completo]])</f>
        <v>MEYDIS POLO DIAZ</v>
      </c>
      <c r="D31" s="3" t="s">
        <v>168</v>
      </c>
      <c r="E31" s="3" t="s">
        <v>32</v>
      </c>
      <c r="F31" s="3">
        <v>2</v>
      </c>
      <c r="G31" s="3" t="s">
        <v>33</v>
      </c>
      <c r="H31" s="3" t="s">
        <v>169</v>
      </c>
      <c r="I31" s="3" t="str">
        <f>+UPPER(Form_Responses[[#This Row],[Nombre completo de su hija/o]])</f>
        <v>DANIEL MARRUGO POLO</v>
      </c>
      <c r="J31" s="3">
        <v>1201224427</v>
      </c>
      <c r="K31" s="3" t="s">
        <v>85</v>
      </c>
      <c r="L31" s="3">
        <v>9</v>
      </c>
      <c r="M31" s="3" t="s">
        <v>37</v>
      </c>
      <c r="N31" s="3" t="s">
        <v>40</v>
      </c>
      <c r="O31" s="3" t="s">
        <v>41</v>
      </c>
      <c r="P31" s="3" t="s">
        <v>39</v>
      </c>
      <c r="Q31" s="3" t="s">
        <v>42</v>
      </c>
      <c r="R31" s="3" t="s">
        <v>38</v>
      </c>
      <c r="S31" s="3" t="s">
        <v>42</v>
      </c>
      <c r="T31" s="3" t="s">
        <v>38</v>
      </c>
      <c r="U31" s="3" t="s">
        <v>38</v>
      </c>
      <c r="V31" s="3" t="s">
        <v>39</v>
      </c>
      <c r="W31" s="3" t="s">
        <v>38</v>
      </c>
      <c r="X31" s="3" t="s">
        <v>39</v>
      </c>
      <c r="Y31" s="3" t="s">
        <v>38</v>
      </c>
      <c r="Z31" s="3" t="s">
        <v>38</v>
      </c>
      <c r="AA31" s="3" t="s">
        <v>40</v>
      </c>
      <c r="AB31" s="3" t="s">
        <v>38</v>
      </c>
      <c r="AC31" s="3" t="s">
        <v>40</v>
      </c>
      <c r="AD31" s="3" t="s">
        <v>41</v>
      </c>
      <c r="AE31" s="4" t="s">
        <v>38</v>
      </c>
    </row>
    <row r="32" spans="1:31" x14ac:dyDescent="0.25">
      <c r="A32" s="5" t="s">
        <v>170</v>
      </c>
      <c r="B32" s="5" t="s">
        <v>171</v>
      </c>
      <c r="C32" s="5" t="str">
        <f>+UPPER(Form_Responses[[#This Row],[Nombre completo]])</f>
        <v xml:space="preserve">ARLENYS LINARES </v>
      </c>
      <c r="D32" s="5">
        <v>50</v>
      </c>
      <c r="E32" s="5" t="s">
        <v>32</v>
      </c>
      <c r="F32" s="5">
        <v>1</v>
      </c>
      <c r="G32" s="5" t="s">
        <v>63</v>
      </c>
      <c r="H32" s="5" t="s">
        <v>172</v>
      </c>
      <c r="I32" s="5" t="str">
        <f>+UPPER(Form_Responses[[#This Row],[Nombre completo de su hija/o]])</f>
        <v xml:space="preserve">ARMANDO MERCHAN LINARES </v>
      </c>
      <c r="J32" s="5">
        <v>5622519</v>
      </c>
      <c r="K32" s="5" t="s">
        <v>65</v>
      </c>
      <c r="L32" s="5" t="s">
        <v>130</v>
      </c>
      <c r="M32" s="5" t="s">
        <v>37</v>
      </c>
      <c r="N32" s="5" t="s">
        <v>40</v>
      </c>
      <c r="O32" s="5" t="s">
        <v>42</v>
      </c>
      <c r="P32" s="5" t="s">
        <v>42</v>
      </c>
      <c r="Q32" s="5" t="s">
        <v>40</v>
      </c>
      <c r="R32" s="5" t="s">
        <v>39</v>
      </c>
      <c r="S32" s="5" t="s">
        <v>39</v>
      </c>
      <c r="T32" s="5" t="s">
        <v>60</v>
      </c>
      <c r="U32" s="5" t="s">
        <v>39</v>
      </c>
      <c r="V32" s="5" t="s">
        <v>42</v>
      </c>
      <c r="W32" s="5" t="s">
        <v>40</v>
      </c>
      <c r="X32" s="5" t="s">
        <v>42</v>
      </c>
      <c r="Y32" s="5" t="s">
        <v>39</v>
      </c>
      <c r="Z32" s="5" t="s">
        <v>40</v>
      </c>
      <c r="AA32" s="5" t="s">
        <v>39</v>
      </c>
      <c r="AB32" s="5" t="s">
        <v>42</v>
      </c>
      <c r="AC32" s="5" t="s">
        <v>40</v>
      </c>
      <c r="AD32" s="5" t="s">
        <v>40</v>
      </c>
      <c r="AE32" s="6" t="s">
        <v>42</v>
      </c>
    </row>
    <row r="33" spans="1:31" x14ac:dyDescent="0.25">
      <c r="A33" s="3" t="s">
        <v>173</v>
      </c>
      <c r="B33" s="3" t="s">
        <v>174</v>
      </c>
      <c r="C33" s="3" t="str">
        <f>+UPPER(Form_Responses[[#This Row],[Nombre completo]])</f>
        <v xml:space="preserve">CARMEN BENAVIDES POLANCO </v>
      </c>
      <c r="D33" s="3" t="s">
        <v>175</v>
      </c>
      <c r="E33" s="3" t="s">
        <v>32</v>
      </c>
      <c r="F33" s="3">
        <v>1</v>
      </c>
      <c r="G33" s="3" t="s">
        <v>33</v>
      </c>
      <c r="H33" s="3" t="s">
        <v>176</v>
      </c>
      <c r="I33" s="3" t="str">
        <f>+UPPER(Form_Responses[[#This Row],[Nombre completo de su hija/o]])</f>
        <v xml:space="preserve">ROBIN ACUÑA BENAVIDES </v>
      </c>
      <c r="J33" s="3">
        <v>1201222818</v>
      </c>
      <c r="K33" s="3" t="s">
        <v>177</v>
      </c>
      <c r="L33" s="3" t="s">
        <v>178</v>
      </c>
      <c r="M33" s="3" t="s">
        <v>37</v>
      </c>
      <c r="N33" s="3" t="s">
        <v>38</v>
      </c>
      <c r="O33" s="3" t="s">
        <v>41</v>
      </c>
      <c r="P33" s="3" t="s">
        <v>60</v>
      </c>
      <c r="Q33" s="3" t="s">
        <v>38</v>
      </c>
      <c r="R33" s="3" t="s">
        <v>38</v>
      </c>
      <c r="S33" s="3" t="s">
        <v>60</v>
      </c>
      <c r="T33" s="3" t="s">
        <v>39</v>
      </c>
      <c r="U33" s="3" t="s">
        <v>38</v>
      </c>
      <c r="V33" s="3" t="s">
        <v>60</v>
      </c>
      <c r="W33" s="3" t="s">
        <v>38</v>
      </c>
      <c r="X33" s="3" t="s">
        <v>39</v>
      </c>
      <c r="Y33" s="3" t="s">
        <v>39</v>
      </c>
      <c r="Z33" s="3" t="s">
        <v>38</v>
      </c>
      <c r="AA33" s="3" t="s">
        <v>38</v>
      </c>
      <c r="AB33" s="3" t="s">
        <v>39</v>
      </c>
      <c r="AC33" s="3" t="s">
        <v>38</v>
      </c>
      <c r="AD33" s="3" t="s">
        <v>38</v>
      </c>
      <c r="AE33" s="4" t="s">
        <v>38</v>
      </c>
    </row>
    <row r="34" spans="1:31" x14ac:dyDescent="0.25">
      <c r="A34" s="5" t="s">
        <v>179</v>
      </c>
      <c r="B34" s="5" t="s">
        <v>180</v>
      </c>
      <c r="C34" s="5" t="str">
        <f>+UPPER(Form_Responses[[#This Row],[Nombre completo]])</f>
        <v xml:space="preserve">ANDREA CAROLINA SALAS VILLALVA </v>
      </c>
      <c r="D34" s="5">
        <v>30</v>
      </c>
      <c r="E34" s="5" t="s">
        <v>32</v>
      </c>
      <c r="F34" s="5">
        <v>2</v>
      </c>
      <c r="G34" s="5" t="s">
        <v>63</v>
      </c>
      <c r="H34" s="5" t="s">
        <v>181</v>
      </c>
      <c r="I34" s="5" t="str">
        <f>+UPPER(Form_Responses[[#This Row],[Nombre completo de su hija/o]])</f>
        <v xml:space="preserve">DIAN SAMUEL BUELVAS SALAS </v>
      </c>
      <c r="J34" s="5">
        <v>1043315241</v>
      </c>
      <c r="K34" s="5" t="s">
        <v>182</v>
      </c>
      <c r="L34" s="5" t="s">
        <v>183</v>
      </c>
      <c r="M34" s="5" t="s">
        <v>37</v>
      </c>
      <c r="N34" s="5" t="s">
        <v>38</v>
      </c>
      <c r="O34" s="5" t="s">
        <v>42</v>
      </c>
      <c r="P34" s="5" t="s">
        <v>39</v>
      </c>
      <c r="Q34" s="5" t="s">
        <v>38</v>
      </c>
      <c r="R34" s="5" t="s">
        <v>38</v>
      </c>
      <c r="S34" s="5" t="s">
        <v>39</v>
      </c>
      <c r="T34" s="5" t="s">
        <v>38</v>
      </c>
      <c r="U34" s="5" t="s">
        <v>38</v>
      </c>
      <c r="V34" s="5" t="s">
        <v>39</v>
      </c>
      <c r="W34" s="5" t="s">
        <v>38</v>
      </c>
      <c r="X34" s="5" t="s">
        <v>42</v>
      </c>
      <c r="Y34" s="5" t="s">
        <v>39</v>
      </c>
      <c r="Z34" s="5" t="s">
        <v>38</v>
      </c>
      <c r="AA34" s="5" t="s">
        <v>39</v>
      </c>
      <c r="AB34" s="5" t="s">
        <v>39</v>
      </c>
      <c r="AC34" s="5" t="s">
        <v>42</v>
      </c>
      <c r="AD34" s="5" t="s">
        <v>38</v>
      </c>
      <c r="AE34" s="6" t="s">
        <v>38</v>
      </c>
    </row>
    <row r="35" spans="1:31" x14ac:dyDescent="0.25">
      <c r="A35" s="3" t="s">
        <v>184</v>
      </c>
      <c r="B35" s="3" t="s">
        <v>185</v>
      </c>
      <c r="C35" s="3" t="str">
        <f>+UPPER(Form_Responses[[#This Row],[Nombre completo]])</f>
        <v xml:space="preserve">CAROLINA GÓMEZ MÁRQUEZ </v>
      </c>
      <c r="D35" s="3">
        <v>34</v>
      </c>
      <c r="E35" s="3" t="s">
        <v>32</v>
      </c>
      <c r="F35" s="3">
        <v>1</v>
      </c>
      <c r="G35" s="3" t="s">
        <v>33</v>
      </c>
      <c r="H35" s="3" t="s">
        <v>186</v>
      </c>
      <c r="I35" s="3" t="str">
        <f>+UPPER(Form_Responses[[#This Row],[Nombre completo de su hija/o]])</f>
        <v xml:space="preserve">JUAN DAVID BABILONIA GÓMEZ </v>
      </c>
      <c r="J35" s="3">
        <v>1201229599</v>
      </c>
      <c r="K35" s="3" t="s">
        <v>187</v>
      </c>
      <c r="L35" s="3" t="s">
        <v>130</v>
      </c>
      <c r="M35" s="3" t="s">
        <v>37</v>
      </c>
      <c r="N35" s="3" t="s">
        <v>39</v>
      </c>
      <c r="O35" s="3" t="s">
        <v>38</v>
      </c>
      <c r="P35" s="3" t="s">
        <v>38</v>
      </c>
      <c r="Q35" s="3" t="s">
        <v>42</v>
      </c>
      <c r="R35" s="3" t="s">
        <v>38</v>
      </c>
      <c r="S35" s="3" t="s">
        <v>39</v>
      </c>
      <c r="T35" s="3" t="s">
        <v>60</v>
      </c>
      <c r="U35" s="3" t="s">
        <v>42</v>
      </c>
      <c r="V35" s="3" t="s">
        <v>39</v>
      </c>
      <c r="W35" s="3" t="s">
        <v>39</v>
      </c>
      <c r="X35" s="3" t="s">
        <v>39</v>
      </c>
      <c r="Y35" s="3" t="s">
        <v>39</v>
      </c>
      <c r="Z35" s="3" t="s">
        <v>42</v>
      </c>
      <c r="AA35" s="3" t="s">
        <v>39</v>
      </c>
      <c r="AB35" s="3" t="s">
        <v>39</v>
      </c>
      <c r="AC35" s="3" t="s">
        <v>60</v>
      </c>
      <c r="AD35" s="3" t="s">
        <v>38</v>
      </c>
      <c r="AE35" s="4" t="s">
        <v>40</v>
      </c>
    </row>
    <row r="36" spans="1:31" x14ac:dyDescent="0.25">
      <c r="A36" s="5" t="s">
        <v>188</v>
      </c>
      <c r="B36" s="5" t="s">
        <v>189</v>
      </c>
      <c r="C36" s="5" t="str">
        <f>+UPPER(Form_Responses[[#This Row],[Nombre completo]])</f>
        <v xml:space="preserve">ADRIANA BRAVO TORRES </v>
      </c>
      <c r="D36" s="5">
        <v>38</v>
      </c>
      <c r="E36" s="5" t="s">
        <v>32</v>
      </c>
      <c r="F36" s="5">
        <v>2</v>
      </c>
      <c r="G36" s="5" t="s">
        <v>46</v>
      </c>
      <c r="H36" s="5" t="s">
        <v>190</v>
      </c>
      <c r="I36" s="5" t="str">
        <f>+UPPER(Form_Responses[[#This Row],[Nombre completo de su hija/o]])</f>
        <v xml:space="preserve">DAVID MATÍAS GÓMEZ BRAVO </v>
      </c>
      <c r="J36" s="5">
        <v>1043311647</v>
      </c>
      <c r="K36" s="5" t="s">
        <v>191</v>
      </c>
      <c r="L36" s="5" t="s">
        <v>97</v>
      </c>
      <c r="M36" s="5" t="s">
        <v>37</v>
      </c>
      <c r="N36" s="5" t="s">
        <v>40</v>
      </c>
      <c r="O36" s="5" t="s">
        <v>60</v>
      </c>
      <c r="P36" s="5" t="s">
        <v>60</v>
      </c>
      <c r="Q36" s="5" t="s">
        <v>40</v>
      </c>
      <c r="R36" s="5" t="s">
        <v>42</v>
      </c>
      <c r="S36" s="5" t="s">
        <v>42</v>
      </c>
      <c r="T36" s="5" t="s">
        <v>38</v>
      </c>
      <c r="U36" s="5" t="s">
        <v>42</v>
      </c>
      <c r="V36" s="5" t="s">
        <v>60</v>
      </c>
      <c r="W36" s="5" t="s">
        <v>40</v>
      </c>
      <c r="X36" s="5" t="s">
        <v>42</v>
      </c>
      <c r="Y36" s="5" t="s">
        <v>60</v>
      </c>
      <c r="Z36" s="5" t="s">
        <v>40</v>
      </c>
      <c r="AA36" s="5" t="s">
        <v>60</v>
      </c>
      <c r="AB36" s="5" t="s">
        <v>60</v>
      </c>
      <c r="AC36" s="5" t="s">
        <v>60</v>
      </c>
      <c r="AD36" s="5" t="s">
        <v>60</v>
      </c>
      <c r="AE36" s="6" t="s">
        <v>41</v>
      </c>
    </row>
    <row r="37" spans="1:31" x14ac:dyDescent="0.25">
      <c r="A37" s="3" t="s">
        <v>192</v>
      </c>
      <c r="B37" s="3" t="s">
        <v>193</v>
      </c>
      <c r="C37" s="3" t="str">
        <f>+UPPER(Form_Responses[[#This Row],[Nombre completo]])</f>
        <v xml:space="preserve">MISURI JULIO QUESSEP </v>
      </c>
      <c r="D37" s="3">
        <v>42</v>
      </c>
      <c r="E37" s="3" t="s">
        <v>32</v>
      </c>
      <c r="F37" s="3">
        <v>1</v>
      </c>
      <c r="G37" s="3" t="s">
        <v>33</v>
      </c>
      <c r="H37" s="3" t="s">
        <v>194</v>
      </c>
      <c r="I37" s="3" t="str">
        <f>+UPPER(Form_Responses[[#This Row],[Nombre completo de su hija/o]])</f>
        <v xml:space="preserve">KELIANA VALERIA JULIO QUESSEP </v>
      </c>
      <c r="J37" s="3">
        <v>1101461705</v>
      </c>
      <c r="K37" s="3" t="s">
        <v>195</v>
      </c>
      <c r="L37" s="3" t="s">
        <v>59</v>
      </c>
      <c r="M37" s="3" t="s">
        <v>37</v>
      </c>
      <c r="N37" s="3" t="s">
        <v>38</v>
      </c>
      <c r="O37" s="3" t="s">
        <v>38</v>
      </c>
      <c r="P37" s="3" t="s">
        <v>42</v>
      </c>
      <c r="Q37" s="3" t="s">
        <v>38</v>
      </c>
      <c r="R37" s="3" t="s">
        <v>38</v>
      </c>
      <c r="S37" s="3" t="s">
        <v>39</v>
      </c>
      <c r="T37" s="3" t="s">
        <v>39</v>
      </c>
      <c r="U37" s="3" t="s">
        <v>39</v>
      </c>
      <c r="V37" s="3" t="s">
        <v>38</v>
      </c>
      <c r="W37" s="3" t="s">
        <v>38</v>
      </c>
      <c r="X37" s="3" t="s">
        <v>39</v>
      </c>
      <c r="Y37" s="3" t="s">
        <v>39</v>
      </c>
      <c r="Z37" s="3" t="s">
        <v>38</v>
      </c>
      <c r="AA37" s="3" t="s">
        <v>39</v>
      </c>
      <c r="AB37" s="3" t="s">
        <v>42</v>
      </c>
      <c r="AC37" s="3" t="s">
        <v>38</v>
      </c>
      <c r="AD37" s="3" t="s">
        <v>39</v>
      </c>
      <c r="AE37" s="4" t="s">
        <v>38</v>
      </c>
    </row>
    <row r="38" spans="1:31" x14ac:dyDescent="0.25">
      <c r="A38" s="5" t="s">
        <v>196</v>
      </c>
      <c r="B38" s="5" t="s">
        <v>197</v>
      </c>
      <c r="C38" s="5" t="str">
        <f>+UPPER(Form_Responses[[#This Row],[Nombre completo]])</f>
        <v xml:space="preserve">GISET BENITEZ FLOREZ </v>
      </c>
      <c r="D38" s="5">
        <v>35</v>
      </c>
      <c r="E38" s="5" t="s">
        <v>32</v>
      </c>
      <c r="F38" s="5">
        <v>1</v>
      </c>
      <c r="G38" s="5" t="s">
        <v>33</v>
      </c>
      <c r="H38" s="5" t="s">
        <v>198</v>
      </c>
      <c r="I38" s="5" t="str">
        <f>+UPPER(Form_Responses[[#This Row],[Nombre completo de su hija/o]])</f>
        <v xml:space="preserve">YITSIBELL ARAGÓN BENÍTEZ </v>
      </c>
      <c r="J38" s="5">
        <v>1127663904</v>
      </c>
      <c r="K38" s="5" t="s">
        <v>199</v>
      </c>
      <c r="L38" s="5">
        <v>8</v>
      </c>
      <c r="M38" s="5" t="s">
        <v>37</v>
      </c>
      <c r="N38" s="5" t="s">
        <v>38</v>
      </c>
      <c r="O38" s="5" t="s">
        <v>39</v>
      </c>
      <c r="P38" s="5" t="s">
        <v>39</v>
      </c>
      <c r="Q38" s="5" t="s">
        <v>39</v>
      </c>
      <c r="R38" s="5" t="s">
        <v>38</v>
      </c>
      <c r="S38" s="5" t="s">
        <v>39</v>
      </c>
      <c r="T38" s="5" t="s">
        <v>49</v>
      </c>
      <c r="U38" s="5" t="s">
        <v>40</v>
      </c>
      <c r="V38" s="5" t="s">
        <v>39</v>
      </c>
      <c r="W38" s="5" t="s">
        <v>40</v>
      </c>
      <c r="X38" s="5" t="s">
        <v>49</v>
      </c>
      <c r="Y38" s="5" t="s">
        <v>39</v>
      </c>
      <c r="Z38" s="5" t="s">
        <v>40</v>
      </c>
      <c r="AA38" s="5" t="s">
        <v>49</v>
      </c>
      <c r="AB38" s="5" t="s">
        <v>49</v>
      </c>
      <c r="AC38" s="5" t="s">
        <v>39</v>
      </c>
      <c r="AD38" s="5" t="s">
        <v>49</v>
      </c>
      <c r="AE38" s="6" t="s">
        <v>38</v>
      </c>
    </row>
    <row r="39" spans="1:31" x14ac:dyDescent="0.25">
      <c r="A39" s="3" t="s">
        <v>200</v>
      </c>
      <c r="B39" s="3" t="s">
        <v>201</v>
      </c>
      <c r="C39" s="3" t="str">
        <f>+UPPER(Form_Responses[[#This Row],[Nombre completo]])</f>
        <v xml:space="preserve">CAROLINA SOFIA JIMÉNEZ CARBAL </v>
      </c>
      <c r="D39" s="3">
        <v>35</v>
      </c>
      <c r="E39" s="3" t="s">
        <v>32</v>
      </c>
      <c r="F39" s="3">
        <v>1</v>
      </c>
      <c r="G39" s="3" t="s">
        <v>33</v>
      </c>
      <c r="H39" s="3" t="s">
        <v>202</v>
      </c>
      <c r="I39" s="3" t="str">
        <f>+UPPER(Form_Responses[[#This Row],[Nombre completo de su hija/o]])</f>
        <v xml:space="preserve">LINA MARÍA MORENO JIMÉNEZ </v>
      </c>
      <c r="J39" s="3">
        <v>1201221293</v>
      </c>
      <c r="K39" s="3" t="s">
        <v>85</v>
      </c>
      <c r="L39" s="3" t="s">
        <v>178</v>
      </c>
      <c r="M39" s="3" t="s">
        <v>37</v>
      </c>
      <c r="N39" s="3" t="s">
        <v>40</v>
      </c>
      <c r="O39" s="3" t="s">
        <v>42</v>
      </c>
      <c r="P39" s="3" t="s">
        <v>60</v>
      </c>
      <c r="Q39" s="3" t="s">
        <v>42</v>
      </c>
      <c r="R39" s="3" t="s">
        <v>40</v>
      </c>
      <c r="S39" s="3" t="s">
        <v>39</v>
      </c>
      <c r="T39" s="3" t="s">
        <v>42</v>
      </c>
      <c r="U39" s="3" t="s">
        <v>42</v>
      </c>
      <c r="V39" s="3" t="s">
        <v>39</v>
      </c>
      <c r="W39" s="3" t="s">
        <v>42</v>
      </c>
      <c r="X39" s="3" t="s">
        <v>39</v>
      </c>
      <c r="Y39" s="3" t="s">
        <v>39</v>
      </c>
      <c r="Z39" s="3" t="s">
        <v>42</v>
      </c>
      <c r="AA39" s="3" t="s">
        <v>39</v>
      </c>
      <c r="AB39" s="3" t="s">
        <v>39</v>
      </c>
      <c r="AC39" s="3" t="s">
        <v>42</v>
      </c>
      <c r="AD39" s="3" t="s">
        <v>42</v>
      </c>
      <c r="AE39" s="4" t="s">
        <v>38</v>
      </c>
    </row>
    <row r="40" spans="1:31" x14ac:dyDescent="0.25">
      <c r="A40" s="5" t="s">
        <v>203</v>
      </c>
      <c r="B40" s="5" t="s">
        <v>204</v>
      </c>
      <c r="C40" s="5" t="str">
        <f>+UPPER(Form_Responses[[#This Row],[Nombre completo]])</f>
        <v>ERIKA LILIANA TABORDA AVENDAÑO</v>
      </c>
      <c r="D40" s="5">
        <v>42</v>
      </c>
      <c r="E40" s="5" t="s">
        <v>32</v>
      </c>
      <c r="F40" s="5">
        <v>2</v>
      </c>
      <c r="G40" s="5" t="s">
        <v>155</v>
      </c>
      <c r="H40" s="5" t="s">
        <v>205</v>
      </c>
      <c r="I40" s="5" t="str">
        <f>+UPPER(Form_Responses[[#This Row],[Nombre completo de su hija/o]])</f>
        <v xml:space="preserve">SEBASTIAN RUEDA TABORDA </v>
      </c>
      <c r="J40" s="5">
        <v>1011594377</v>
      </c>
      <c r="K40" s="5" t="s">
        <v>65</v>
      </c>
      <c r="L40" s="5">
        <v>9</v>
      </c>
      <c r="M40" s="5" t="s">
        <v>37</v>
      </c>
      <c r="N40" s="5" t="s">
        <v>40</v>
      </c>
      <c r="O40" s="5" t="s">
        <v>39</v>
      </c>
      <c r="P40" s="5" t="s">
        <v>39</v>
      </c>
      <c r="Q40" s="5" t="s">
        <v>41</v>
      </c>
      <c r="R40" s="5" t="s">
        <v>42</v>
      </c>
      <c r="S40" s="5" t="s">
        <v>60</v>
      </c>
      <c r="T40" s="5" t="s">
        <v>40</v>
      </c>
      <c r="U40" s="5" t="s">
        <v>42</v>
      </c>
      <c r="V40" s="5" t="s">
        <v>39</v>
      </c>
      <c r="W40" s="5" t="s">
        <v>38</v>
      </c>
      <c r="X40" s="5" t="s">
        <v>49</v>
      </c>
      <c r="Y40" s="5" t="s">
        <v>39</v>
      </c>
      <c r="Z40" s="5" t="s">
        <v>42</v>
      </c>
      <c r="AA40" s="5" t="s">
        <v>39</v>
      </c>
      <c r="AB40" s="5" t="s">
        <v>39</v>
      </c>
      <c r="AC40" s="5" t="s">
        <v>49</v>
      </c>
      <c r="AD40" s="5" t="s">
        <v>38</v>
      </c>
      <c r="AE40" s="6" t="s">
        <v>39</v>
      </c>
    </row>
    <row r="41" spans="1:31" x14ac:dyDescent="0.25">
      <c r="A41" s="3" t="s">
        <v>206</v>
      </c>
      <c r="B41" s="3" t="s">
        <v>207</v>
      </c>
      <c r="C41" s="3" t="str">
        <f>+UPPER(Form_Responses[[#This Row],[Nombre completo]])</f>
        <v xml:space="preserve">NANCY MORALES MARTINEZ </v>
      </c>
      <c r="D41" s="3">
        <v>41</v>
      </c>
      <c r="E41" s="3" t="s">
        <v>32</v>
      </c>
      <c r="F41" s="3">
        <v>1</v>
      </c>
      <c r="G41" s="3" t="s">
        <v>33</v>
      </c>
      <c r="H41" s="3" t="s">
        <v>208</v>
      </c>
      <c r="I41" s="3" t="str">
        <f>+UPPER(Form_Responses[[#This Row],[Nombre completo de su hija/o]])</f>
        <v xml:space="preserve">SHEILA ANDREA ORTEGA MORALES </v>
      </c>
      <c r="J41" s="3">
        <v>1041986755</v>
      </c>
      <c r="K41" s="3" t="s">
        <v>182</v>
      </c>
      <c r="L41" s="3" t="s">
        <v>209</v>
      </c>
      <c r="M41" s="3" t="s">
        <v>37</v>
      </c>
      <c r="N41" s="3" t="s">
        <v>40</v>
      </c>
      <c r="O41" s="3" t="s">
        <v>39</v>
      </c>
      <c r="P41" s="3" t="s">
        <v>39</v>
      </c>
      <c r="Q41" s="3" t="s">
        <v>40</v>
      </c>
      <c r="R41" s="3" t="s">
        <v>38</v>
      </c>
      <c r="S41" s="3" t="s">
        <v>49</v>
      </c>
      <c r="T41" s="3" t="s">
        <v>49</v>
      </c>
      <c r="U41" s="3" t="s">
        <v>42</v>
      </c>
      <c r="V41" s="3" t="s">
        <v>49</v>
      </c>
      <c r="W41" s="3" t="s">
        <v>40</v>
      </c>
      <c r="X41" s="3" t="s">
        <v>49</v>
      </c>
      <c r="Y41" s="3" t="s">
        <v>39</v>
      </c>
      <c r="Z41" s="3" t="s">
        <v>42</v>
      </c>
      <c r="AA41" s="3" t="s">
        <v>39</v>
      </c>
      <c r="AB41" s="3" t="s">
        <v>49</v>
      </c>
      <c r="AC41" s="3" t="s">
        <v>49</v>
      </c>
      <c r="AD41" s="3" t="s">
        <v>40</v>
      </c>
      <c r="AE41" s="4" t="s">
        <v>40</v>
      </c>
    </row>
    <row r="42" spans="1:31" x14ac:dyDescent="0.25">
      <c r="A42" s="5" t="s">
        <v>210</v>
      </c>
      <c r="B42" s="5" t="s">
        <v>211</v>
      </c>
      <c r="C42" s="5" t="str">
        <f>+UPPER(Form_Responses[[#This Row],[Nombre completo]])</f>
        <v xml:space="preserve">JOCZULY CAMARGO </v>
      </c>
      <c r="D42" s="5">
        <v>32</v>
      </c>
      <c r="E42" s="5" t="s">
        <v>32</v>
      </c>
      <c r="F42" s="5">
        <v>1</v>
      </c>
      <c r="G42" s="5" t="s">
        <v>33</v>
      </c>
      <c r="H42" s="5" t="s">
        <v>212</v>
      </c>
      <c r="I42" s="5" t="str">
        <f>+UPPER(Form_Responses[[#This Row],[Nombre completo de su hija/o]])</f>
        <v xml:space="preserve">MAIKEL MARTINEZ </v>
      </c>
      <c r="J42" s="5">
        <v>7046798</v>
      </c>
      <c r="K42" s="5" t="s">
        <v>213</v>
      </c>
      <c r="L42" s="5">
        <v>8</v>
      </c>
      <c r="M42" s="5" t="s">
        <v>37</v>
      </c>
      <c r="N42" s="5" t="s">
        <v>41</v>
      </c>
      <c r="O42" s="5" t="s">
        <v>39</v>
      </c>
      <c r="P42" s="5" t="s">
        <v>60</v>
      </c>
      <c r="Q42" s="5" t="s">
        <v>40</v>
      </c>
      <c r="R42" s="5" t="s">
        <v>38</v>
      </c>
      <c r="S42" s="5" t="s">
        <v>49</v>
      </c>
      <c r="T42" s="5" t="s">
        <v>40</v>
      </c>
      <c r="U42" s="5" t="s">
        <v>41</v>
      </c>
      <c r="V42" s="5" t="s">
        <v>60</v>
      </c>
      <c r="W42" s="5" t="s">
        <v>40</v>
      </c>
      <c r="X42" s="5" t="s">
        <v>42</v>
      </c>
      <c r="Y42" s="5" t="s">
        <v>39</v>
      </c>
      <c r="Z42" s="5" t="s">
        <v>40</v>
      </c>
      <c r="AA42" s="5" t="s">
        <v>38</v>
      </c>
      <c r="AB42" s="5" t="s">
        <v>60</v>
      </c>
      <c r="AC42" s="5" t="s">
        <v>40</v>
      </c>
      <c r="AD42" s="5" t="s">
        <v>42</v>
      </c>
      <c r="AE42" s="6" t="s">
        <v>60</v>
      </c>
    </row>
    <row r="43" spans="1:31" x14ac:dyDescent="0.25">
      <c r="A43" s="3" t="s">
        <v>214</v>
      </c>
      <c r="B43" s="3" t="s">
        <v>215</v>
      </c>
      <c r="C43" s="3" t="str">
        <f>+UPPER(Form_Responses[[#This Row],[Nombre completo]])</f>
        <v>ALBA VILLALBA LUGO</v>
      </c>
      <c r="D43" s="3">
        <v>34</v>
      </c>
      <c r="E43" s="3" t="s">
        <v>32</v>
      </c>
      <c r="F43" s="3">
        <v>2</v>
      </c>
      <c r="G43" s="3" t="s">
        <v>46</v>
      </c>
      <c r="H43" s="3" t="s">
        <v>216</v>
      </c>
      <c r="I43" s="3" t="str">
        <f>+UPPER(Form_Responses[[#This Row],[Nombre completo de su hija/o]])</f>
        <v>JAHDIEL GONZALEZ</v>
      </c>
      <c r="J43" s="3">
        <v>1201224783</v>
      </c>
      <c r="K43" s="3" t="s">
        <v>217</v>
      </c>
      <c r="L43" s="3" t="s">
        <v>218</v>
      </c>
      <c r="M43" s="3" t="s">
        <v>37</v>
      </c>
      <c r="N43" s="3" t="s">
        <v>40</v>
      </c>
      <c r="O43" s="3" t="s">
        <v>41</v>
      </c>
      <c r="P43" s="3" t="s">
        <v>39</v>
      </c>
      <c r="Q43" s="3" t="s">
        <v>40</v>
      </c>
      <c r="R43" s="3" t="s">
        <v>38</v>
      </c>
      <c r="S43" s="3" t="s">
        <v>60</v>
      </c>
      <c r="T43" s="3" t="s">
        <v>40</v>
      </c>
      <c r="U43" s="3" t="s">
        <v>41</v>
      </c>
      <c r="V43" s="3" t="s">
        <v>60</v>
      </c>
      <c r="W43" s="3" t="s">
        <v>40</v>
      </c>
      <c r="X43" s="3" t="s">
        <v>39</v>
      </c>
      <c r="Y43" s="3" t="s">
        <v>60</v>
      </c>
      <c r="Z43" s="3" t="s">
        <v>40</v>
      </c>
      <c r="AA43" s="3" t="s">
        <v>41</v>
      </c>
      <c r="AB43" s="3" t="s">
        <v>60</v>
      </c>
      <c r="AC43" s="3" t="s">
        <v>40</v>
      </c>
      <c r="AD43" s="3" t="s">
        <v>60</v>
      </c>
      <c r="AE43" s="4" t="s">
        <v>40</v>
      </c>
    </row>
    <row r="44" spans="1:31" x14ac:dyDescent="0.25">
      <c r="A44" s="5" t="s">
        <v>219</v>
      </c>
      <c r="B44" s="5" t="s">
        <v>220</v>
      </c>
      <c r="C44" s="5" t="str">
        <f>+UPPER(Form_Responses[[#This Row],[Nombre completo]])</f>
        <v xml:space="preserve">ADELSIS JOSEFINA ALVARADO HERRERA </v>
      </c>
      <c r="D44" s="5">
        <v>40</v>
      </c>
      <c r="E44" s="5" t="s">
        <v>32</v>
      </c>
      <c r="F44" s="5">
        <v>1</v>
      </c>
      <c r="G44" s="5" t="s">
        <v>63</v>
      </c>
      <c r="H44" s="5" t="s">
        <v>221</v>
      </c>
      <c r="I44" s="5" t="str">
        <f>+UPPER(Form_Responses[[#This Row],[Nombre completo de su hija/o]])</f>
        <v xml:space="preserve">STEVENS MARRUGO ALVARADO </v>
      </c>
      <c r="J44" s="5">
        <v>1126257844</v>
      </c>
      <c r="K44" s="5" t="s">
        <v>85</v>
      </c>
      <c r="L44" s="5" t="s">
        <v>59</v>
      </c>
      <c r="M44" s="5" t="s">
        <v>37</v>
      </c>
      <c r="N44" s="5" t="s">
        <v>39</v>
      </c>
      <c r="O44" s="5" t="s">
        <v>60</v>
      </c>
      <c r="P44" s="5" t="s">
        <v>60</v>
      </c>
      <c r="Q44" s="5" t="s">
        <v>40</v>
      </c>
      <c r="R44" s="5" t="s">
        <v>49</v>
      </c>
      <c r="S44" s="5" t="s">
        <v>60</v>
      </c>
      <c r="T44" s="5" t="s">
        <v>40</v>
      </c>
      <c r="U44" s="5" t="s">
        <v>39</v>
      </c>
      <c r="V44" s="5" t="s">
        <v>60</v>
      </c>
      <c r="W44" s="5" t="s">
        <v>40</v>
      </c>
      <c r="X44" s="5" t="s">
        <v>39</v>
      </c>
      <c r="Y44" s="5" t="s">
        <v>60</v>
      </c>
      <c r="Z44" s="5" t="s">
        <v>40</v>
      </c>
      <c r="AA44" s="5" t="s">
        <v>60</v>
      </c>
      <c r="AB44" s="5" t="s">
        <v>42</v>
      </c>
      <c r="AC44" s="5" t="s">
        <v>38</v>
      </c>
      <c r="AD44" s="5" t="s">
        <v>49</v>
      </c>
      <c r="AE44" s="6" t="s">
        <v>38</v>
      </c>
    </row>
    <row r="45" spans="1:31" x14ac:dyDescent="0.25">
      <c r="A45" s="3" t="s">
        <v>219</v>
      </c>
      <c r="B45" s="3" t="s">
        <v>220</v>
      </c>
      <c r="C45" s="3" t="str">
        <f>+UPPER(Form_Responses[[#This Row],[Nombre completo]])</f>
        <v xml:space="preserve">ADELSIS JOSEFINA ALVARADO HERRERA </v>
      </c>
      <c r="D45" s="3">
        <v>40</v>
      </c>
      <c r="E45" s="3" t="s">
        <v>32</v>
      </c>
      <c r="F45" s="3">
        <v>1</v>
      </c>
      <c r="G45" s="3" t="s">
        <v>63</v>
      </c>
      <c r="H45" s="3" t="s">
        <v>222</v>
      </c>
      <c r="I45" s="3" t="str">
        <f>+UPPER(Form_Responses[[#This Row],[Nombre completo de su hija/o]])</f>
        <v xml:space="preserve">STARLINS ADEWIL MARRUGO ALVARADO </v>
      </c>
      <c r="J45" s="3">
        <v>1126257845</v>
      </c>
      <c r="K45" s="3" t="s">
        <v>85</v>
      </c>
      <c r="L45" s="3" t="s">
        <v>223</v>
      </c>
      <c r="M45" s="3" t="s">
        <v>37</v>
      </c>
      <c r="N45" s="3" t="s">
        <v>40</v>
      </c>
      <c r="O45" s="3" t="s">
        <v>49</v>
      </c>
      <c r="P45" s="3" t="s">
        <v>49</v>
      </c>
      <c r="Q45" s="3" t="s">
        <v>40</v>
      </c>
      <c r="R45" s="3" t="s">
        <v>49</v>
      </c>
      <c r="S45" s="3" t="s">
        <v>60</v>
      </c>
      <c r="T45" s="3" t="s">
        <v>40</v>
      </c>
      <c r="U45" s="3" t="s">
        <v>39</v>
      </c>
      <c r="V45" s="3" t="s">
        <v>60</v>
      </c>
      <c r="W45" s="3" t="s">
        <v>40</v>
      </c>
      <c r="X45" s="3" t="s">
        <v>39</v>
      </c>
      <c r="Y45" s="3" t="s">
        <v>60</v>
      </c>
      <c r="Z45" s="3" t="s">
        <v>40</v>
      </c>
      <c r="AA45" s="3" t="s">
        <v>49</v>
      </c>
      <c r="AB45" s="3" t="s">
        <v>38</v>
      </c>
      <c r="AC45" s="3" t="s">
        <v>40</v>
      </c>
      <c r="AD45" s="3" t="s">
        <v>60</v>
      </c>
      <c r="AE45" s="4" t="s">
        <v>40</v>
      </c>
    </row>
    <row r="46" spans="1:31" x14ac:dyDescent="0.25">
      <c r="A46" s="5" t="s">
        <v>224</v>
      </c>
      <c r="B46" s="5" t="s">
        <v>225</v>
      </c>
      <c r="C46" s="5" t="str">
        <f>+UPPER(Form_Responses[[#This Row],[Nombre completo]])</f>
        <v xml:space="preserve">NORTHI GAVIRIA JIMÉNEZ </v>
      </c>
      <c r="D46" s="5" t="s">
        <v>31</v>
      </c>
      <c r="E46" s="5" t="s">
        <v>104</v>
      </c>
      <c r="F46" s="5">
        <v>1</v>
      </c>
      <c r="G46" s="5" t="s">
        <v>33</v>
      </c>
      <c r="H46" s="5" t="s">
        <v>226</v>
      </c>
      <c r="I46" s="5" t="str">
        <f>+UPPER(Form_Responses[[#This Row],[Nombre completo de su hija/o]])</f>
        <v xml:space="preserve">SAMUEL GAVIRIA CHIQUILLO </v>
      </c>
      <c r="J46" s="5">
        <v>1142931455</v>
      </c>
      <c r="K46" s="5" t="s">
        <v>65</v>
      </c>
      <c r="L46" s="5" t="s">
        <v>227</v>
      </c>
      <c r="M46" s="5" t="s">
        <v>37</v>
      </c>
      <c r="N46" s="5" t="s">
        <v>38</v>
      </c>
      <c r="O46" s="5" t="s">
        <v>38</v>
      </c>
      <c r="P46" s="5" t="s">
        <v>60</v>
      </c>
      <c r="Q46" s="5" t="s">
        <v>39</v>
      </c>
      <c r="R46" s="5" t="s">
        <v>38</v>
      </c>
      <c r="S46" s="5" t="s">
        <v>39</v>
      </c>
      <c r="T46" s="5" t="s">
        <v>60</v>
      </c>
      <c r="U46" s="5" t="s">
        <v>39</v>
      </c>
      <c r="V46" s="5" t="s">
        <v>39</v>
      </c>
      <c r="W46" s="5" t="s">
        <v>38</v>
      </c>
      <c r="X46" s="5" t="s">
        <v>39</v>
      </c>
      <c r="Y46" s="5" t="s">
        <v>39</v>
      </c>
      <c r="Z46" s="5" t="s">
        <v>38</v>
      </c>
      <c r="AA46" s="5" t="s">
        <v>39</v>
      </c>
      <c r="AB46" s="5" t="s">
        <v>39</v>
      </c>
      <c r="AC46" s="5" t="s">
        <v>39</v>
      </c>
      <c r="AD46" s="5" t="s">
        <v>40</v>
      </c>
      <c r="AE46" s="6" t="s">
        <v>38</v>
      </c>
    </row>
    <row r="47" spans="1:31" x14ac:dyDescent="0.25">
      <c r="A47" s="3" t="s">
        <v>228</v>
      </c>
      <c r="B47" s="3" t="s">
        <v>229</v>
      </c>
      <c r="C47" s="3" t="str">
        <f>+UPPER(Form_Responses[[#This Row],[Nombre completo]])</f>
        <v xml:space="preserve">YOAIS JULIO BLANCO </v>
      </c>
      <c r="D47" s="3">
        <v>48</v>
      </c>
      <c r="E47" s="3" t="s">
        <v>32</v>
      </c>
      <c r="F47" s="3">
        <v>1</v>
      </c>
      <c r="G47" s="3" t="s">
        <v>230</v>
      </c>
      <c r="H47" s="3" t="s">
        <v>231</v>
      </c>
      <c r="I47" s="3" t="str">
        <f>+UPPER(Form_Responses[[#This Row],[Nombre completo de su hija/o]])</f>
        <v xml:space="preserve">SHEILYN MARGARITA TUÑON JULIO </v>
      </c>
      <c r="J47" s="3">
        <v>1042589832</v>
      </c>
      <c r="K47" s="3" t="s">
        <v>232</v>
      </c>
      <c r="L47" s="3" t="s">
        <v>59</v>
      </c>
      <c r="M47" s="3" t="s">
        <v>37</v>
      </c>
      <c r="N47" s="3" t="s">
        <v>49</v>
      </c>
      <c r="O47" s="3" t="s">
        <v>60</v>
      </c>
      <c r="P47" s="3" t="s">
        <v>49</v>
      </c>
      <c r="Q47" s="3" t="s">
        <v>38</v>
      </c>
      <c r="R47" s="3" t="s">
        <v>42</v>
      </c>
      <c r="S47" s="3" t="s">
        <v>39</v>
      </c>
      <c r="T47" s="3" t="s">
        <v>42</v>
      </c>
      <c r="U47" s="3" t="s">
        <v>42</v>
      </c>
      <c r="V47" s="3" t="s">
        <v>39</v>
      </c>
      <c r="W47" s="3" t="s">
        <v>38</v>
      </c>
      <c r="X47" s="3" t="s">
        <v>39</v>
      </c>
      <c r="Y47" s="3" t="s">
        <v>39</v>
      </c>
      <c r="Z47" s="3" t="s">
        <v>38</v>
      </c>
      <c r="AA47" s="3" t="s">
        <v>39</v>
      </c>
      <c r="AB47" s="3" t="s">
        <v>38</v>
      </c>
      <c r="AC47" s="3" t="s">
        <v>38</v>
      </c>
      <c r="AD47" s="3" t="s">
        <v>39</v>
      </c>
      <c r="AE47" s="4" t="s">
        <v>38</v>
      </c>
    </row>
    <row r="48" spans="1:31" x14ac:dyDescent="0.25">
      <c r="A48" s="5" t="s">
        <v>233</v>
      </c>
      <c r="B48" s="5" t="s">
        <v>234</v>
      </c>
      <c r="C48" s="5" t="str">
        <f>+UPPER(Form_Responses[[#This Row],[Nombre completo]])</f>
        <v xml:space="preserve">IVONNE ELAINE GONZÁLEZ MENDOZA </v>
      </c>
      <c r="D48" s="5">
        <v>42</v>
      </c>
      <c r="E48" s="5" t="s">
        <v>32</v>
      </c>
      <c r="F48" s="5">
        <v>2</v>
      </c>
      <c r="G48" s="5" t="s">
        <v>46</v>
      </c>
      <c r="H48" s="5" t="s">
        <v>235</v>
      </c>
      <c r="I48" s="5" t="str">
        <f>+UPPER(Form_Responses[[#This Row],[Nombre completo de su hija/o]])</f>
        <v xml:space="preserve">DANIEL ALEJANDRO LÓPEZ GONZÁLEZ </v>
      </c>
      <c r="J48" s="5">
        <v>1142926164</v>
      </c>
      <c r="K48" s="5" t="s">
        <v>48</v>
      </c>
      <c r="L48" s="5" t="s">
        <v>236</v>
      </c>
      <c r="M48" s="5" t="s">
        <v>37</v>
      </c>
      <c r="N48" s="5" t="s">
        <v>40</v>
      </c>
      <c r="O48" s="5" t="s">
        <v>38</v>
      </c>
      <c r="P48" s="5" t="s">
        <v>38</v>
      </c>
      <c r="Q48" s="5" t="s">
        <v>38</v>
      </c>
      <c r="R48" s="5" t="s">
        <v>49</v>
      </c>
      <c r="S48" s="5" t="s">
        <v>40</v>
      </c>
      <c r="T48" s="5" t="s">
        <v>41</v>
      </c>
      <c r="U48" s="5" t="s">
        <v>49</v>
      </c>
      <c r="V48" s="5" t="s">
        <v>38</v>
      </c>
      <c r="W48" s="5" t="s">
        <v>41</v>
      </c>
      <c r="X48" s="5" t="s">
        <v>40</v>
      </c>
      <c r="Y48" s="5" t="s">
        <v>49</v>
      </c>
      <c r="Z48" s="5" t="s">
        <v>41</v>
      </c>
      <c r="AA48" s="5" t="s">
        <v>49</v>
      </c>
      <c r="AB48" s="5" t="s">
        <v>39</v>
      </c>
      <c r="AC48" s="5" t="s">
        <v>38</v>
      </c>
      <c r="AD48" s="5" t="s">
        <v>49</v>
      </c>
      <c r="AE48" s="6" t="s">
        <v>49</v>
      </c>
    </row>
    <row r="49" spans="1:31" x14ac:dyDescent="0.25">
      <c r="A49" s="3" t="s">
        <v>237</v>
      </c>
      <c r="B49" s="3" t="s">
        <v>238</v>
      </c>
      <c r="C49" s="3" t="str">
        <f>+UPPER(Form_Responses[[#This Row],[Nombre completo]])</f>
        <v xml:space="preserve">ELIZABETH QUINTERO SALAZAR </v>
      </c>
      <c r="D49" s="3">
        <v>34</v>
      </c>
      <c r="E49" s="3" t="s">
        <v>32</v>
      </c>
      <c r="F49" s="3">
        <v>1</v>
      </c>
      <c r="G49" s="3" t="s">
        <v>33</v>
      </c>
      <c r="H49" s="3" t="s">
        <v>239</v>
      </c>
      <c r="I49" s="3" t="str">
        <f>+UPPER(Form_Responses[[#This Row],[Nombre completo de su hija/o]])</f>
        <v xml:space="preserve">YERSON STEVEN NIÑO QUINTERO </v>
      </c>
      <c r="J49" s="3">
        <v>1092950109</v>
      </c>
      <c r="K49" s="3" t="s">
        <v>58</v>
      </c>
      <c r="L49" s="3" t="s">
        <v>240</v>
      </c>
      <c r="M49" s="3" t="s">
        <v>37</v>
      </c>
      <c r="N49" s="3" t="s">
        <v>40</v>
      </c>
      <c r="O49" s="3" t="s">
        <v>60</v>
      </c>
      <c r="P49" s="3" t="s">
        <v>60</v>
      </c>
      <c r="Q49" s="3" t="s">
        <v>60</v>
      </c>
      <c r="R49" s="3" t="s">
        <v>60</v>
      </c>
      <c r="S49" s="3" t="s">
        <v>60</v>
      </c>
      <c r="T49" s="3" t="s">
        <v>40</v>
      </c>
      <c r="U49" s="3" t="s">
        <v>60</v>
      </c>
      <c r="V49" s="3" t="s">
        <v>60</v>
      </c>
      <c r="W49" s="3" t="s">
        <v>60</v>
      </c>
      <c r="X49" s="3" t="s">
        <v>60</v>
      </c>
      <c r="Y49" s="3" t="s">
        <v>60</v>
      </c>
      <c r="Z49" s="3" t="s">
        <v>40</v>
      </c>
      <c r="AA49" s="3" t="s">
        <v>60</v>
      </c>
      <c r="AB49" s="3" t="s">
        <v>60</v>
      </c>
      <c r="AC49" s="3" t="s">
        <v>60</v>
      </c>
      <c r="AD49" s="3" t="s">
        <v>40</v>
      </c>
      <c r="AE49" s="4" t="s">
        <v>60</v>
      </c>
    </row>
    <row r="50" spans="1:31" x14ac:dyDescent="0.25">
      <c r="A50" s="5" t="s">
        <v>241</v>
      </c>
      <c r="B50" s="5" t="s">
        <v>242</v>
      </c>
      <c r="C50" s="5" t="str">
        <f>+UPPER(Form_Responses[[#This Row],[Nombre completo]])</f>
        <v xml:space="preserve">KELLY ASTRID MOLINA ALÍAN </v>
      </c>
      <c r="D50" s="5">
        <v>43</v>
      </c>
      <c r="E50" s="5" t="s">
        <v>32</v>
      </c>
      <c r="F50" s="5">
        <v>1</v>
      </c>
      <c r="G50" s="5" t="s">
        <v>63</v>
      </c>
      <c r="H50" s="5" t="s">
        <v>243</v>
      </c>
      <c r="I50" s="5" t="str">
        <f>+UPPER(Form_Responses[[#This Row],[Nombre completo de su hija/o]])</f>
        <v xml:space="preserve">MATHIAS LLANOS MOLINA LLANOS MOLINA </v>
      </c>
      <c r="J50" s="5">
        <v>1142930676</v>
      </c>
      <c r="K50" s="5" t="s">
        <v>85</v>
      </c>
      <c r="L50" s="5" t="s">
        <v>218</v>
      </c>
      <c r="M50" s="5" t="s">
        <v>37</v>
      </c>
      <c r="N50" s="5" t="s">
        <v>40</v>
      </c>
      <c r="O50" s="5" t="s">
        <v>49</v>
      </c>
      <c r="P50" s="5" t="s">
        <v>60</v>
      </c>
      <c r="Q50" s="5" t="s">
        <v>40</v>
      </c>
      <c r="R50" s="5" t="s">
        <v>42</v>
      </c>
      <c r="S50" s="5" t="s">
        <v>42</v>
      </c>
      <c r="T50" s="5" t="s">
        <v>40</v>
      </c>
      <c r="U50" s="5" t="s">
        <v>39</v>
      </c>
      <c r="V50" s="5" t="s">
        <v>60</v>
      </c>
      <c r="W50" s="5" t="s">
        <v>40</v>
      </c>
      <c r="X50" s="5" t="s">
        <v>39</v>
      </c>
      <c r="Y50" s="5" t="s">
        <v>49</v>
      </c>
      <c r="Z50" s="5" t="s">
        <v>41</v>
      </c>
      <c r="AA50" s="5" t="s">
        <v>49</v>
      </c>
      <c r="AB50" s="5" t="s">
        <v>60</v>
      </c>
      <c r="AC50" s="5" t="s">
        <v>38</v>
      </c>
      <c r="AD50" s="5" t="s">
        <v>39</v>
      </c>
      <c r="AE50" s="6" t="s">
        <v>40</v>
      </c>
    </row>
    <row r="51" spans="1:31" x14ac:dyDescent="0.25">
      <c r="A51" s="3" t="s">
        <v>244</v>
      </c>
      <c r="B51" s="3" t="s">
        <v>245</v>
      </c>
      <c r="C51" s="3" t="str">
        <f>+UPPER(Form_Responses[[#This Row],[Nombre completo]])</f>
        <v>VIVIANA VILLEGAS VÁSQUEZ</v>
      </c>
      <c r="D51" s="3">
        <v>43</v>
      </c>
      <c r="E51" s="3" t="s">
        <v>32</v>
      </c>
      <c r="F51" s="3">
        <v>1</v>
      </c>
      <c r="G51" s="3" t="s">
        <v>33</v>
      </c>
      <c r="H51" s="3" t="s">
        <v>246</v>
      </c>
      <c r="I51" s="3" t="str">
        <f>+UPPER(Form_Responses[[#This Row],[Nombre completo de su hija/o]])</f>
        <v>LEIDIS GUILLEN ROMERO</v>
      </c>
      <c r="J51" s="3">
        <v>5823202</v>
      </c>
      <c r="K51" s="3" t="s">
        <v>58</v>
      </c>
      <c r="L51" s="3">
        <v>8</v>
      </c>
      <c r="M51" s="3" t="s">
        <v>37</v>
      </c>
      <c r="N51" s="3" t="s">
        <v>60</v>
      </c>
      <c r="O51" s="3" t="s">
        <v>39</v>
      </c>
      <c r="P51" s="3" t="s">
        <v>39</v>
      </c>
      <c r="Q51" s="3" t="s">
        <v>38</v>
      </c>
      <c r="R51" s="3" t="s">
        <v>39</v>
      </c>
      <c r="S51" s="3" t="s">
        <v>39</v>
      </c>
      <c r="T51" s="3" t="s">
        <v>38</v>
      </c>
      <c r="U51" s="3" t="s">
        <v>39</v>
      </c>
      <c r="V51" s="3" t="s">
        <v>39</v>
      </c>
      <c r="W51" s="3" t="s">
        <v>38</v>
      </c>
      <c r="X51" s="3" t="s">
        <v>38</v>
      </c>
      <c r="Y51" s="3" t="s">
        <v>39</v>
      </c>
      <c r="Z51" s="3" t="s">
        <v>38</v>
      </c>
      <c r="AA51" s="3" t="s">
        <v>39</v>
      </c>
      <c r="AB51" s="3" t="s">
        <v>39</v>
      </c>
      <c r="AC51" s="3" t="s">
        <v>49</v>
      </c>
      <c r="AD51" s="3" t="s">
        <v>38</v>
      </c>
      <c r="AE51" s="4" t="s">
        <v>38</v>
      </c>
    </row>
    <row r="52" spans="1:31" x14ac:dyDescent="0.25">
      <c r="A52" s="5" t="s">
        <v>247</v>
      </c>
      <c r="B52" s="5" t="s">
        <v>248</v>
      </c>
      <c r="C52" s="5" t="str">
        <f>+UPPER(Form_Responses[[#This Row],[Nombre completo]])</f>
        <v xml:space="preserve">FRANCIS JOSEFINA FERRER ASTUDILLO </v>
      </c>
      <c r="D52" s="5">
        <v>37</v>
      </c>
      <c r="E52" s="5" t="s">
        <v>32</v>
      </c>
      <c r="F52" s="5">
        <v>1</v>
      </c>
      <c r="G52" s="5" t="s">
        <v>33</v>
      </c>
      <c r="H52" s="5" t="s">
        <v>249</v>
      </c>
      <c r="I52" s="5" t="str">
        <f>+UPPER(Form_Responses[[#This Row],[Nombre completo de su hija/o]])</f>
        <v xml:space="preserve">MAYERLIN CAROLINA PÉREZ FERRER </v>
      </c>
      <c r="J52" s="5">
        <v>6044907</v>
      </c>
      <c r="K52" s="5" t="s">
        <v>250</v>
      </c>
      <c r="L52" s="5" t="s">
        <v>130</v>
      </c>
      <c r="M52" s="5" t="s">
        <v>37</v>
      </c>
      <c r="N52" s="5" t="s">
        <v>39</v>
      </c>
      <c r="O52" s="5" t="s">
        <v>39</v>
      </c>
      <c r="P52" s="5" t="s">
        <v>39</v>
      </c>
      <c r="Q52" s="5" t="s">
        <v>39</v>
      </c>
      <c r="R52" s="5" t="s">
        <v>38</v>
      </c>
      <c r="S52" s="5" t="s">
        <v>39</v>
      </c>
      <c r="T52" s="5" t="s">
        <v>38</v>
      </c>
      <c r="U52" s="5" t="s">
        <v>38</v>
      </c>
      <c r="V52" s="5" t="s">
        <v>39</v>
      </c>
      <c r="W52" s="5" t="s">
        <v>38</v>
      </c>
      <c r="X52" s="5" t="s">
        <v>39</v>
      </c>
      <c r="Y52" s="5" t="s">
        <v>39</v>
      </c>
      <c r="Z52" s="5" t="s">
        <v>38</v>
      </c>
      <c r="AA52" s="5" t="s">
        <v>39</v>
      </c>
      <c r="AB52" s="5" t="s">
        <v>39</v>
      </c>
      <c r="AC52" s="5" t="s">
        <v>39</v>
      </c>
      <c r="AD52" s="5" t="s">
        <v>38</v>
      </c>
      <c r="AE52" s="6" t="s">
        <v>38</v>
      </c>
    </row>
    <row r="53" spans="1:31" x14ac:dyDescent="0.25">
      <c r="A53" s="3" t="s">
        <v>251</v>
      </c>
      <c r="B53" s="3" t="s">
        <v>252</v>
      </c>
      <c r="C53" s="3" t="str">
        <f>+UPPER(Form_Responses[[#This Row],[Nombre completo]])</f>
        <v>DENNYS BARRIOS OSPINO</v>
      </c>
      <c r="D53" s="3">
        <v>40</v>
      </c>
      <c r="E53" s="3" t="s">
        <v>32</v>
      </c>
      <c r="F53" s="3">
        <v>2</v>
      </c>
      <c r="G53" s="3" t="s">
        <v>63</v>
      </c>
      <c r="H53" s="3" t="s">
        <v>253</v>
      </c>
      <c r="I53" s="3" t="str">
        <f>+UPPER(Form_Responses[[#This Row],[Nombre completo de su hija/o]])</f>
        <v>SEBASTIAN TOVAR BARRIOS</v>
      </c>
      <c r="J53" s="3">
        <v>1043989522</v>
      </c>
      <c r="K53" s="3" t="s">
        <v>254</v>
      </c>
      <c r="L53" s="3" t="s">
        <v>107</v>
      </c>
      <c r="M53" s="3" t="s">
        <v>37</v>
      </c>
      <c r="N53" s="3" t="s">
        <v>60</v>
      </c>
      <c r="O53" s="3" t="s">
        <v>38</v>
      </c>
      <c r="P53" s="3" t="s">
        <v>60</v>
      </c>
      <c r="Q53" s="3" t="s">
        <v>39</v>
      </c>
      <c r="R53" s="3" t="s">
        <v>42</v>
      </c>
      <c r="S53" s="3" t="s">
        <v>49</v>
      </c>
      <c r="T53" s="3" t="s">
        <v>39</v>
      </c>
      <c r="U53" s="3" t="s">
        <v>60</v>
      </c>
      <c r="V53" s="3" t="s">
        <v>60</v>
      </c>
      <c r="W53" s="3" t="s">
        <v>40</v>
      </c>
      <c r="X53" s="3" t="s">
        <v>39</v>
      </c>
      <c r="Y53" s="3" t="s">
        <v>60</v>
      </c>
      <c r="Z53" s="3" t="s">
        <v>38</v>
      </c>
      <c r="AA53" s="3" t="s">
        <v>60</v>
      </c>
      <c r="AB53" s="3" t="s">
        <v>39</v>
      </c>
      <c r="AC53" s="3" t="s">
        <v>42</v>
      </c>
      <c r="AD53" s="3" t="s">
        <v>39</v>
      </c>
      <c r="AE53" s="4" t="s">
        <v>40</v>
      </c>
    </row>
    <row r="54" spans="1:31" x14ac:dyDescent="0.25">
      <c r="A54" s="5" t="s">
        <v>255</v>
      </c>
      <c r="B54" s="5" t="s">
        <v>256</v>
      </c>
      <c r="C54" s="5" t="str">
        <f>+UPPER(Form_Responses[[#This Row],[Nombre completo]])</f>
        <v xml:space="preserve">MERCEDES OLAYA RAMIREZ </v>
      </c>
      <c r="D54" s="5">
        <v>54</v>
      </c>
      <c r="E54" s="5" t="s">
        <v>32</v>
      </c>
      <c r="F54" s="5">
        <v>1</v>
      </c>
      <c r="G54" s="5" t="s">
        <v>33</v>
      </c>
      <c r="H54" s="5" t="s">
        <v>257</v>
      </c>
      <c r="I54" s="5" t="str">
        <f>+UPPER(Form_Responses[[#This Row],[Nombre completo de su hija/o]])</f>
        <v>ERICK SANTIAGO OLAYA</v>
      </c>
      <c r="J54" s="5">
        <v>1010199764</v>
      </c>
      <c r="K54" s="5" t="s">
        <v>258</v>
      </c>
      <c r="L54" s="5" t="s">
        <v>259</v>
      </c>
      <c r="M54" s="5" t="s">
        <v>37</v>
      </c>
      <c r="N54" s="5" t="s">
        <v>39</v>
      </c>
      <c r="O54" s="5" t="s">
        <v>39</v>
      </c>
      <c r="P54" s="5" t="s">
        <v>42</v>
      </c>
      <c r="Q54" s="5" t="s">
        <v>39</v>
      </c>
      <c r="R54" s="5" t="s">
        <v>39</v>
      </c>
      <c r="S54" s="5" t="s">
        <v>39</v>
      </c>
      <c r="T54" s="5" t="s">
        <v>39</v>
      </c>
      <c r="U54" s="5" t="s">
        <v>39</v>
      </c>
      <c r="V54" s="5" t="s">
        <v>39</v>
      </c>
      <c r="W54" s="5" t="s">
        <v>39</v>
      </c>
      <c r="X54" s="5" t="s">
        <v>39</v>
      </c>
      <c r="Y54" s="5" t="s">
        <v>39</v>
      </c>
      <c r="Z54" s="5" t="s">
        <v>39</v>
      </c>
      <c r="AA54" s="5" t="s">
        <v>39</v>
      </c>
      <c r="AB54" s="5" t="s">
        <v>39</v>
      </c>
      <c r="AC54" s="5" t="s">
        <v>39</v>
      </c>
      <c r="AD54" s="5" t="s">
        <v>39</v>
      </c>
      <c r="AE54" s="6" t="s">
        <v>39</v>
      </c>
    </row>
    <row r="55" spans="1:31" x14ac:dyDescent="0.25">
      <c r="A55" s="3" t="s">
        <v>251</v>
      </c>
      <c r="B55" s="3" t="s">
        <v>260</v>
      </c>
      <c r="C55" s="3" t="str">
        <f>+UPPER(Form_Responses[[#This Row],[Nombre completo]])</f>
        <v xml:space="preserve">DENNYS BARRIOS OSPINO </v>
      </c>
      <c r="D55" s="3">
        <v>40</v>
      </c>
      <c r="E55" s="3" t="s">
        <v>32</v>
      </c>
      <c r="F55" s="3">
        <v>2</v>
      </c>
      <c r="G55" s="3" t="s">
        <v>63</v>
      </c>
      <c r="H55" s="3" t="s">
        <v>261</v>
      </c>
      <c r="I55" s="3" t="str">
        <f>+UPPER(Form_Responses[[#This Row],[Nombre completo de su hija/o]])</f>
        <v>JANNA VALENTINA TOVAR BARRIOS</v>
      </c>
      <c r="J55" s="3">
        <v>1044001864</v>
      </c>
      <c r="K55" s="3" t="s">
        <v>254</v>
      </c>
      <c r="L55" s="3" t="s">
        <v>262</v>
      </c>
      <c r="M55" s="3" t="s">
        <v>37</v>
      </c>
      <c r="N55" s="3" t="s">
        <v>60</v>
      </c>
      <c r="O55" s="3" t="s">
        <v>60</v>
      </c>
      <c r="P55" s="3" t="s">
        <v>60</v>
      </c>
      <c r="Q55" s="3" t="s">
        <v>38</v>
      </c>
      <c r="R55" s="3" t="s">
        <v>39</v>
      </c>
      <c r="S55" s="3" t="s">
        <v>39</v>
      </c>
      <c r="T55" s="3" t="s">
        <v>39</v>
      </c>
      <c r="U55" s="3" t="s">
        <v>39</v>
      </c>
      <c r="V55" s="3" t="s">
        <v>49</v>
      </c>
      <c r="W55" s="3" t="s">
        <v>40</v>
      </c>
      <c r="X55" s="3" t="s">
        <v>39</v>
      </c>
      <c r="Y55" s="3" t="s">
        <v>60</v>
      </c>
      <c r="Z55" s="3" t="s">
        <v>42</v>
      </c>
      <c r="AA55" s="3" t="s">
        <v>60</v>
      </c>
      <c r="AB55" s="3" t="s">
        <v>60</v>
      </c>
      <c r="AC55" s="3" t="s">
        <v>40</v>
      </c>
      <c r="AD55" s="3" t="s">
        <v>39</v>
      </c>
      <c r="AE55" s="4" t="s">
        <v>40</v>
      </c>
    </row>
    <row r="56" spans="1:31" x14ac:dyDescent="0.25">
      <c r="A56" s="5" t="s">
        <v>263</v>
      </c>
      <c r="B56" s="5" t="s">
        <v>264</v>
      </c>
      <c r="C56" s="5" t="str">
        <f>+UPPER(Form_Responses[[#This Row],[Nombre completo]])</f>
        <v>JENNIFER GAITAN</v>
      </c>
      <c r="D56" s="5">
        <v>38</v>
      </c>
      <c r="E56" s="5" t="s">
        <v>32</v>
      </c>
      <c r="F56" s="5">
        <v>2</v>
      </c>
      <c r="G56" s="5" t="s">
        <v>33</v>
      </c>
      <c r="H56" s="5" t="s">
        <v>265</v>
      </c>
      <c r="I56" s="5" t="str">
        <f>+UPPER(Form_Responses[[#This Row],[Nombre completo de su hija/o]])</f>
        <v>MAXIMILIANO PUELLO GAITAN</v>
      </c>
      <c r="J56" s="5">
        <v>1201225529</v>
      </c>
      <c r="K56" s="5" t="s">
        <v>266</v>
      </c>
      <c r="L56" s="5" t="s">
        <v>130</v>
      </c>
      <c r="M56" s="5" t="s">
        <v>37</v>
      </c>
      <c r="N56" s="5" t="s">
        <v>38</v>
      </c>
      <c r="O56" s="5" t="s">
        <v>38</v>
      </c>
      <c r="P56" s="5" t="s">
        <v>60</v>
      </c>
      <c r="Q56" s="5" t="s">
        <v>41</v>
      </c>
      <c r="R56" s="5" t="s">
        <v>40</v>
      </c>
      <c r="S56" s="5" t="s">
        <v>40</v>
      </c>
      <c r="T56" s="5" t="s">
        <v>38</v>
      </c>
      <c r="U56" s="5" t="s">
        <v>40</v>
      </c>
      <c r="V56" s="5" t="s">
        <v>38</v>
      </c>
      <c r="W56" s="5" t="s">
        <v>38</v>
      </c>
      <c r="X56" s="5" t="s">
        <v>38</v>
      </c>
      <c r="Y56" s="5" t="s">
        <v>39</v>
      </c>
      <c r="Z56" s="5" t="s">
        <v>38</v>
      </c>
      <c r="AA56" s="5" t="s">
        <v>38</v>
      </c>
      <c r="AB56" s="5" t="s">
        <v>60</v>
      </c>
      <c r="AC56" s="5" t="s">
        <v>60</v>
      </c>
      <c r="AD56" s="5" t="s">
        <v>38</v>
      </c>
      <c r="AE56" s="6" t="s">
        <v>40</v>
      </c>
    </row>
    <row r="57" spans="1:31" x14ac:dyDescent="0.25">
      <c r="A57" s="3" t="s">
        <v>267</v>
      </c>
      <c r="B57" s="3" t="s">
        <v>268</v>
      </c>
      <c r="C57" s="3" t="str">
        <f>+UPPER(Form_Responses[[#This Row],[Nombre completo]])</f>
        <v>MARIA ATENCIO</v>
      </c>
      <c r="D57" s="3">
        <v>44</v>
      </c>
      <c r="E57" s="3" t="s">
        <v>32</v>
      </c>
      <c r="F57" s="3">
        <v>2</v>
      </c>
      <c r="G57" s="3" t="s">
        <v>63</v>
      </c>
      <c r="H57" s="3" t="s">
        <v>269</v>
      </c>
      <c r="I57" s="3" t="str">
        <f>+UPPER(Form_Responses[[#This Row],[Nombre completo de su hija/o]])</f>
        <v xml:space="preserve">SANTIAGO HERNÁNDEZ ATENCIO </v>
      </c>
      <c r="J57" s="3">
        <v>1201221731</v>
      </c>
      <c r="K57" s="3" t="s">
        <v>199</v>
      </c>
      <c r="L57" s="3" t="s">
        <v>270</v>
      </c>
      <c r="M57" s="3" t="s">
        <v>37</v>
      </c>
      <c r="N57" s="3" t="s">
        <v>40</v>
      </c>
      <c r="O57" s="3" t="s">
        <v>42</v>
      </c>
      <c r="P57" s="3" t="s">
        <v>60</v>
      </c>
      <c r="Q57" s="3" t="s">
        <v>40</v>
      </c>
      <c r="R57" s="3" t="s">
        <v>42</v>
      </c>
      <c r="S57" s="3" t="s">
        <v>60</v>
      </c>
      <c r="T57" s="3" t="s">
        <v>40</v>
      </c>
      <c r="U57" s="3" t="s">
        <v>42</v>
      </c>
      <c r="V57" s="3" t="s">
        <v>60</v>
      </c>
      <c r="W57" s="3" t="s">
        <v>40</v>
      </c>
      <c r="X57" s="3" t="s">
        <v>39</v>
      </c>
      <c r="Y57" s="3" t="s">
        <v>39</v>
      </c>
      <c r="Z57" s="3" t="s">
        <v>40</v>
      </c>
      <c r="AA57" s="3" t="s">
        <v>42</v>
      </c>
      <c r="AB57" s="3" t="s">
        <v>60</v>
      </c>
      <c r="AC57" s="3" t="s">
        <v>40</v>
      </c>
      <c r="AD57" s="3" t="s">
        <v>42</v>
      </c>
      <c r="AE57" s="4" t="s">
        <v>40</v>
      </c>
    </row>
    <row r="58" spans="1:31" x14ac:dyDescent="0.25">
      <c r="A58" s="5" t="s">
        <v>271</v>
      </c>
      <c r="B58" s="5" t="s">
        <v>272</v>
      </c>
      <c r="C58" s="5" t="str">
        <f>+UPPER(Form_Responses[[#This Row],[Nombre completo]])</f>
        <v xml:space="preserve">YUVISAY PÉREZ </v>
      </c>
      <c r="D58" s="5">
        <v>14</v>
      </c>
      <c r="E58" s="5" t="s">
        <v>32</v>
      </c>
      <c r="F58" s="5">
        <v>1</v>
      </c>
      <c r="G58" s="5" t="s">
        <v>33</v>
      </c>
      <c r="H58" s="5" t="s">
        <v>272</v>
      </c>
      <c r="I58" s="5" t="str">
        <f>+UPPER(Form_Responses[[#This Row],[Nombre completo de su hija/o]])</f>
        <v xml:space="preserve">YUVISAY PÉREZ </v>
      </c>
      <c r="J58" s="5">
        <v>104746020074</v>
      </c>
      <c r="K58" s="5" t="s">
        <v>85</v>
      </c>
      <c r="L58" s="5" t="s">
        <v>80</v>
      </c>
      <c r="M58" s="5" t="s">
        <v>37</v>
      </c>
      <c r="N58" s="5" t="s">
        <v>40</v>
      </c>
      <c r="O58" s="5" t="s">
        <v>42</v>
      </c>
      <c r="P58" s="5" t="s">
        <v>39</v>
      </c>
      <c r="Q58" s="5" t="s">
        <v>40</v>
      </c>
      <c r="R58" s="5" t="s">
        <v>38</v>
      </c>
      <c r="S58" s="5" t="s">
        <v>49</v>
      </c>
      <c r="T58" s="5" t="s">
        <v>41</v>
      </c>
      <c r="U58" s="5" t="s">
        <v>42</v>
      </c>
      <c r="V58" s="5" t="s">
        <v>39</v>
      </c>
      <c r="W58" s="5" t="s">
        <v>38</v>
      </c>
      <c r="X58" s="5" t="s">
        <v>39</v>
      </c>
      <c r="Y58" s="5" t="s">
        <v>39</v>
      </c>
      <c r="Z58" s="5" t="s">
        <v>42</v>
      </c>
      <c r="AA58" s="5" t="s">
        <v>39</v>
      </c>
      <c r="AB58" s="5" t="s">
        <v>49</v>
      </c>
      <c r="AC58" s="5" t="s">
        <v>49</v>
      </c>
      <c r="AD58" s="5" t="s">
        <v>42</v>
      </c>
      <c r="AE58" s="6" t="s">
        <v>40</v>
      </c>
    </row>
    <row r="59" spans="1:31" x14ac:dyDescent="0.25">
      <c r="A59" s="3" t="s">
        <v>273</v>
      </c>
      <c r="B59" s="3" t="s">
        <v>274</v>
      </c>
      <c r="C59" s="3" t="str">
        <f>+UPPER(Form_Responses[[#This Row],[Nombre completo]])</f>
        <v>YURIS GOMEZ CABARCAS</v>
      </c>
      <c r="D59" s="3">
        <v>40</v>
      </c>
      <c r="E59" s="3" t="s">
        <v>32</v>
      </c>
      <c r="F59" s="3">
        <v>1</v>
      </c>
      <c r="G59" s="3" t="s">
        <v>33</v>
      </c>
      <c r="H59" s="3" t="s">
        <v>275</v>
      </c>
      <c r="I59" s="3" t="str">
        <f>+UPPER(Form_Responses[[#This Row],[Nombre completo de su hija/o]])</f>
        <v>JUAN ANDRES PONTE GOMES</v>
      </c>
      <c r="J59" s="3">
        <v>1137530680</v>
      </c>
      <c r="K59" s="3" t="s">
        <v>276</v>
      </c>
      <c r="L59" s="3" t="s">
        <v>277</v>
      </c>
      <c r="M59" s="3" t="s">
        <v>37</v>
      </c>
      <c r="N59" s="3" t="s">
        <v>42</v>
      </c>
      <c r="O59" s="3" t="s">
        <v>42</v>
      </c>
      <c r="P59" s="3" t="s">
        <v>42</v>
      </c>
      <c r="Q59" s="3" t="s">
        <v>42</v>
      </c>
      <c r="R59" s="3" t="s">
        <v>42</v>
      </c>
      <c r="S59" s="3" t="s">
        <v>42</v>
      </c>
      <c r="T59" s="3" t="s">
        <v>38</v>
      </c>
      <c r="U59" s="3" t="s">
        <v>42</v>
      </c>
      <c r="V59" s="3" t="s">
        <v>42</v>
      </c>
      <c r="W59" s="3" t="s">
        <v>42</v>
      </c>
      <c r="X59" s="3" t="s">
        <v>42</v>
      </c>
      <c r="Y59" s="3" t="s">
        <v>42</v>
      </c>
      <c r="Z59" s="3" t="s">
        <v>42</v>
      </c>
      <c r="AA59" s="3" t="s">
        <v>42</v>
      </c>
      <c r="AB59" s="3" t="s">
        <v>42</v>
      </c>
      <c r="AC59" s="3" t="s">
        <v>42</v>
      </c>
      <c r="AD59" s="3" t="s">
        <v>42</v>
      </c>
      <c r="AE59" s="4" t="s">
        <v>42</v>
      </c>
    </row>
    <row r="60" spans="1:31" x14ac:dyDescent="0.25">
      <c r="A60" s="5" t="s">
        <v>278</v>
      </c>
      <c r="B60" s="5" t="s">
        <v>279</v>
      </c>
      <c r="C60" s="5" t="str">
        <f>+UPPER(Form_Responses[[#This Row],[Nombre completo]])</f>
        <v xml:space="preserve">EUFEMIA DE CARMEN PEÑA BELTRÁN </v>
      </c>
      <c r="D60" s="5">
        <v>46</v>
      </c>
      <c r="E60" s="5" t="s">
        <v>32</v>
      </c>
      <c r="F60" s="5">
        <v>1</v>
      </c>
      <c r="G60" s="5" t="s">
        <v>33</v>
      </c>
      <c r="H60" s="5" t="s">
        <v>280</v>
      </c>
      <c r="I60" s="5" t="str">
        <f>+UPPER(Form_Responses[[#This Row],[Nombre completo de su hija/o]])</f>
        <v>YEIMI ANDREA MARTINEZ PEÑA</v>
      </c>
      <c r="J60" s="5">
        <v>1043986527</v>
      </c>
      <c r="K60" s="5" t="s">
        <v>281</v>
      </c>
      <c r="L60" s="8" t="s">
        <v>282</v>
      </c>
      <c r="M60" s="5" t="s">
        <v>37</v>
      </c>
      <c r="N60" s="5" t="s">
        <v>40</v>
      </c>
      <c r="O60" s="5" t="s">
        <v>60</v>
      </c>
      <c r="P60" s="5" t="s">
        <v>60</v>
      </c>
      <c r="Q60" s="5" t="s">
        <v>40</v>
      </c>
      <c r="R60" s="5" t="s">
        <v>60</v>
      </c>
      <c r="S60" s="5" t="s">
        <v>60</v>
      </c>
      <c r="T60" s="5" t="s">
        <v>42</v>
      </c>
      <c r="U60" s="5" t="s">
        <v>49</v>
      </c>
      <c r="V60" s="5" t="s">
        <v>60</v>
      </c>
      <c r="W60" s="5" t="s">
        <v>40</v>
      </c>
      <c r="X60" s="5" t="s">
        <v>42</v>
      </c>
      <c r="Y60" s="5" t="s">
        <v>60</v>
      </c>
      <c r="Z60" s="5" t="s">
        <v>41</v>
      </c>
      <c r="AA60" s="5" t="s">
        <v>49</v>
      </c>
      <c r="AB60" s="5" t="s">
        <v>49</v>
      </c>
      <c r="AC60" s="5" t="s">
        <v>42</v>
      </c>
      <c r="AD60" s="5" t="s">
        <v>39</v>
      </c>
      <c r="AE60" s="6" t="s">
        <v>41</v>
      </c>
    </row>
    <row r="61" spans="1:31" x14ac:dyDescent="0.25">
      <c r="A61" s="3" t="s">
        <v>283</v>
      </c>
      <c r="B61" s="3" t="s">
        <v>284</v>
      </c>
      <c r="C61" s="3" t="str">
        <f>+UPPER(Form_Responses[[#This Row],[Nombre completo]])</f>
        <v xml:space="preserve">KATHERINE PAOLA ÁVILA SÁNCHEZ </v>
      </c>
      <c r="D61" s="3">
        <v>36</v>
      </c>
      <c r="E61" s="3" t="s">
        <v>32</v>
      </c>
      <c r="F61" s="3">
        <v>1</v>
      </c>
      <c r="G61" s="3" t="s">
        <v>33</v>
      </c>
      <c r="H61" s="3" t="s">
        <v>285</v>
      </c>
      <c r="I61" s="3" t="str">
        <f>+UPPER(Form_Responses[[#This Row],[Nombre completo de su hija/o]])</f>
        <v xml:space="preserve">SHAILY JOHANA MORANTE AVILA </v>
      </c>
      <c r="J61" s="3">
        <v>1143367733</v>
      </c>
      <c r="K61" s="3" t="s">
        <v>286</v>
      </c>
      <c r="L61" s="3" t="s">
        <v>270</v>
      </c>
      <c r="M61" s="3" t="s">
        <v>37</v>
      </c>
      <c r="N61" s="3" t="s">
        <v>40</v>
      </c>
      <c r="O61" s="3" t="s">
        <v>60</v>
      </c>
      <c r="P61" s="3" t="s">
        <v>39</v>
      </c>
      <c r="Q61" s="3" t="s">
        <v>38</v>
      </c>
      <c r="R61" s="3" t="s">
        <v>39</v>
      </c>
      <c r="S61" s="3" t="s">
        <v>39</v>
      </c>
      <c r="T61" s="3" t="s">
        <v>38</v>
      </c>
      <c r="U61" s="3" t="s">
        <v>49</v>
      </c>
      <c r="V61" s="3" t="s">
        <v>39</v>
      </c>
      <c r="W61" s="3" t="s">
        <v>38</v>
      </c>
      <c r="X61" s="3" t="s">
        <v>38</v>
      </c>
      <c r="Y61" s="3" t="s">
        <v>39</v>
      </c>
      <c r="Z61" s="3" t="s">
        <v>38</v>
      </c>
      <c r="AA61" s="3" t="s">
        <v>39</v>
      </c>
      <c r="AB61" s="3" t="s">
        <v>39</v>
      </c>
      <c r="AC61" s="3" t="s">
        <v>38</v>
      </c>
      <c r="AD61" s="3" t="s">
        <v>39</v>
      </c>
      <c r="AE61" s="4" t="s">
        <v>60</v>
      </c>
    </row>
    <row r="62" spans="1:31" x14ac:dyDescent="0.25">
      <c r="A62" s="5" t="s">
        <v>287</v>
      </c>
      <c r="B62" s="5" t="s">
        <v>288</v>
      </c>
      <c r="C62" s="5" t="str">
        <f>+UPPER(Form_Responses[[#This Row],[Nombre completo]])</f>
        <v xml:space="preserve">RUBY ROMERO </v>
      </c>
      <c r="D62" s="5">
        <v>48</v>
      </c>
      <c r="E62" s="5" t="s">
        <v>32</v>
      </c>
      <c r="F62" s="5">
        <v>1</v>
      </c>
      <c r="G62" s="5" t="s">
        <v>155</v>
      </c>
      <c r="H62" s="5" t="s">
        <v>289</v>
      </c>
      <c r="I62" s="5" t="str">
        <f>+UPPER(Form_Responses[[#This Row],[Nombre completo de su hija/o]])</f>
        <v xml:space="preserve">ESTEFANIA GONZALEZ ROMERO </v>
      </c>
      <c r="J62" s="5">
        <v>1043984914</v>
      </c>
      <c r="K62" s="5" t="s">
        <v>290</v>
      </c>
      <c r="L62" s="5">
        <v>903</v>
      </c>
      <c r="M62" s="5" t="s">
        <v>37</v>
      </c>
      <c r="N62" s="5" t="s">
        <v>40</v>
      </c>
      <c r="O62" s="5" t="s">
        <v>42</v>
      </c>
      <c r="P62" s="5" t="s">
        <v>38</v>
      </c>
      <c r="Q62" s="5" t="s">
        <v>40</v>
      </c>
      <c r="R62" s="5" t="s">
        <v>39</v>
      </c>
      <c r="S62" s="5" t="s">
        <v>42</v>
      </c>
      <c r="T62" s="5" t="s">
        <v>39</v>
      </c>
      <c r="U62" s="5" t="s">
        <v>39</v>
      </c>
      <c r="V62" s="5" t="s">
        <v>42</v>
      </c>
      <c r="W62" s="5" t="s">
        <v>38</v>
      </c>
      <c r="X62" s="5" t="s">
        <v>42</v>
      </c>
      <c r="Y62" s="5" t="s">
        <v>42</v>
      </c>
      <c r="Z62" s="5" t="s">
        <v>42</v>
      </c>
      <c r="AA62" s="5" t="s">
        <v>39</v>
      </c>
      <c r="AB62" s="5" t="s">
        <v>42</v>
      </c>
      <c r="AC62" s="5" t="s">
        <v>42</v>
      </c>
      <c r="AD62" s="5" t="s">
        <v>38</v>
      </c>
      <c r="AE62" s="6" t="s">
        <v>42</v>
      </c>
    </row>
    <row r="63" spans="1:31" x14ac:dyDescent="0.25">
      <c r="A63" s="3" t="s">
        <v>291</v>
      </c>
      <c r="B63" s="3" t="s">
        <v>292</v>
      </c>
      <c r="C63" s="3" t="str">
        <f>+UPPER(Form_Responses[[#This Row],[Nombre completo]])</f>
        <v>ORLINA  DEL CARMEN. ROMERO BALLESTERO</v>
      </c>
      <c r="D63" s="3">
        <v>47</v>
      </c>
      <c r="E63" s="3" t="s">
        <v>32</v>
      </c>
      <c r="F63" s="3">
        <v>1</v>
      </c>
      <c r="G63" s="3" t="s">
        <v>33</v>
      </c>
      <c r="H63" s="3" t="s">
        <v>293</v>
      </c>
      <c r="I63" s="3" t="str">
        <f>+UPPER(Form_Responses[[#This Row],[Nombre completo de su hija/o]])</f>
        <v>STIVEN YAIR ARCIA  ROMERO</v>
      </c>
      <c r="J63" s="3" t="s">
        <v>294</v>
      </c>
      <c r="K63" s="3" t="s">
        <v>295</v>
      </c>
      <c r="L63" s="3" t="s">
        <v>178</v>
      </c>
      <c r="M63" s="3" t="s">
        <v>37</v>
      </c>
      <c r="N63" s="3" t="s">
        <v>40</v>
      </c>
      <c r="O63" s="3" t="s">
        <v>42</v>
      </c>
      <c r="P63" s="3" t="s">
        <v>39</v>
      </c>
      <c r="Q63" s="3" t="s">
        <v>40</v>
      </c>
      <c r="R63" s="3" t="s">
        <v>40</v>
      </c>
      <c r="S63" s="3" t="s">
        <v>39</v>
      </c>
      <c r="T63" s="3" t="s">
        <v>40</v>
      </c>
      <c r="U63" s="3" t="s">
        <v>39</v>
      </c>
      <c r="V63" s="3" t="s">
        <v>39</v>
      </c>
      <c r="W63" s="3" t="s">
        <v>40</v>
      </c>
      <c r="X63" s="3" t="s">
        <v>39</v>
      </c>
      <c r="Y63" s="3" t="s">
        <v>39</v>
      </c>
      <c r="Z63" s="3" t="s">
        <v>40</v>
      </c>
      <c r="AA63" s="3" t="s">
        <v>39</v>
      </c>
      <c r="AB63" s="3" t="s">
        <v>39</v>
      </c>
      <c r="AC63" s="3" t="s">
        <v>40</v>
      </c>
      <c r="AD63" s="3" t="s">
        <v>39</v>
      </c>
      <c r="AE63" s="4" t="s">
        <v>40</v>
      </c>
    </row>
    <row r="64" spans="1:31" x14ac:dyDescent="0.25">
      <c r="A64" s="5" t="s">
        <v>296</v>
      </c>
      <c r="B64" s="5" t="s">
        <v>297</v>
      </c>
      <c r="C64" s="5" t="str">
        <f>+UPPER(Form_Responses[[#This Row],[Nombre completo]])</f>
        <v xml:space="preserve">GLENIS GARCÍA </v>
      </c>
      <c r="D64" s="5" t="s">
        <v>298</v>
      </c>
      <c r="E64" s="5" t="s">
        <v>32</v>
      </c>
      <c r="F64" s="5">
        <v>1</v>
      </c>
      <c r="G64" s="5" t="s">
        <v>33</v>
      </c>
      <c r="H64" s="5" t="s">
        <v>299</v>
      </c>
      <c r="I64" s="5" t="str">
        <f>+UPPER(Form_Responses[[#This Row],[Nombre completo de su hija/o]])</f>
        <v xml:space="preserve">ÁNGELY DE DIOS MATOS GARCÍA </v>
      </c>
      <c r="J64" s="5" t="s">
        <v>300</v>
      </c>
      <c r="K64" s="5" t="s">
        <v>301</v>
      </c>
      <c r="L64" s="5" t="s">
        <v>302</v>
      </c>
      <c r="M64" s="5" t="s">
        <v>37</v>
      </c>
      <c r="N64" s="5" t="s">
        <v>39</v>
      </c>
      <c r="O64" s="5" t="s">
        <v>49</v>
      </c>
      <c r="P64" s="5" t="s">
        <v>39</v>
      </c>
      <c r="Q64" s="5" t="s">
        <v>38</v>
      </c>
      <c r="R64" s="5" t="s">
        <v>38</v>
      </c>
      <c r="S64" s="5" t="s">
        <v>39</v>
      </c>
      <c r="T64" s="5" t="s">
        <v>39</v>
      </c>
      <c r="U64" s="5" t="s">
        <v>38</v>
      </c>
      <c r="V64" s="5" t="s">
        <v>39</v>
      </c>
      <c r="W64" s="5" t="s">
        <v>38</v>
      </c>
      <c r="X64" s="5" t="s">
        <v>39</v>
      </c>
      <c r="Y64" s="5" t="s">
        <v>38</v>
      </c>
      <c r="Z64" s="5" t="s">
        <v>38</v>
      </c>
      <c r="AA64" s="5" t="s">
        <v>39</v>
      </c>
      <c r="AB64" s="5" t="s">
        <v>39</v>
      </c>
      <c r="AC64" s="5" t="s">
        <v>39</v>
      </c>
      <c r="AD64" s="5" t="s">
        <v>38</v>
      </c>
      <c r="AE64" s="6" t="s">
        <v>39</v>
      </c>
    </row>
    <row r="65" spans="1:31" x14ac:dyDescent="0.25">
      <c r="A65" s="3" t="s">
        <v>303</v>
      </c>
      <c r="B65" s="3" t="s">
        <v>304</v>
      </c>
      <c r="C65" s="3" t="str">
        <f>+UPPER(Form_Responses[[#This Row],[Nombre completo]])</f>
        <v>LEIDY SUSY GUERRERO DIAZ</v>
      </c>
      <c r="D65" s="3" t="s">
        <v>305</v>
      </c>
      <c r="E65" s="3" t="s">
        <v>32</v>
      </c>
      <c r="F65" s="3">
        <v>1</v>
      </c>
      <c r="G65" s="3" t="s">
        <v>33</v>
      </c>
      <c r="H65" s="3" t="s">
        <v>306</v>
      </c>
      <c r="I65" s="3" t="str">
        <f>+UPPER(Form_Responses[[#This Row],[Nombre completo de su hija/o]])</f>
        <v>ANDREA CAROLINA GUERRERO DIAZ</v>
      </c>
      <c r="J65" s="3">
        <v>1047507086</v>
      </c>
      <c r="K65" s="3" t="s">
        <v>307</v>
      </c>
      <c r="L65" s="9" t="s">
        <v>308</v>
      </c>
      <c r="M65" s="3" t="s">
        <v>37</v>
      </c>
      <c r="N65" s="3" t="s">
        <v>39</v>
      </c>
      <c r="O65" s="3" t="s">
        <v>60</v>
      </c>
      <c r="P65" s="3" t="s">
        <v>39</v>
      </c>
      <c r="Q65" s="3" t="s">
        <v>39</v>
      </c>
      <c r="R65" s="3" t="s">
        <v>60</v>
      </c>
      <c r="S65" s="3" t="s">
        <v>49</v>
      </c>
      <c r="T65" s="3" t="s">
        <v>39</v>
      </c>
      <c r="U65" s="3" t="s">
        <v>60</v>
      </c>
      <c r="V65" s="3" t="s">
        <v>60</v>
      </c>
      <c r="W65" s="3" t="s">
        <v>40</v>
      </c>
      <c r="X65" s="3" t="s">
        <v>49</v>
      </c>
      <c r="Y65" s="3" t="s">
        <v>39</v>
      </c>
      <c r="Z65" s="3" t="s">
        <v>39</v>
      </c>
      <c r="AA65" s="3" t="s">
        <v>49</v>
      </c>
      <c r="AB65" s="3" t="s">
        <v>39</v>
      </c>
      <c r="AC65" s="3" t="s">
        <v>39</v>
      </c>
      <c r="AD65" s="3" t="s">
        <v>38</v>
      </c>
      <c r="AE65" s="4" t="s">
        <v>39</v>
      </c>
    </row>
    <row r="66" spans="1:31" x14ac:dyDescent="0.25">
      <c r="A66" s="10" t="s">
        <v>309</v>
      </c>
      <c r="B66" s="10" t="s">
        <v>310</v>
      </c>
      <c r="C66" s="10" t="str">
        <f>+UPPER(Form_Responses[[#This Row],[Nombre completo]])</f>
        <v xml:space="preserve">MÓNICA PINTO ZABALETA </v>
      </c>
      <c r="D66" s="10">
        <v>41</v>
      </c>
      <c r="E66" s="10" t="s">
        <v>32</v>
      </c>
      <c r="F66" s="10">
        <v>1</v>
      </c>
      <c r="G66" s="10" t="s">
        <v>46</v>
      </c>
      <c r="H66" s="10" t="s">
        <v>311</v>
      </c>
      <c r="I66" s="10" t="str">
        <f>+UPPER(Form_Responses[[#This Row],[Nombre completo de su hija/o]])</f>
        <v xml:space="preserve">TALIANA BARRAGÁN PINTO </v>
      </c>
      <c r="J66" s="10">
        <v>1201219915</v>
      </c>
      <c r="K66" s="10" t="s">
        <v>312</v>
      </c>
      <c r="L66" s="10">
        <v>903</v>
      </c>
      <c r="M66" s="10" t="s">
        <v>37</v>
      </c>
      <c r="N66" s="10" t="s">
        <v>38</v>
      </c>
      <c r="O66" s="10" t="s">
        <v>39</v>
      </c>
      <c r="P66" s="10" t="s">
        <v>39</v>
      </c>
      <c r="Q66" s="10" t="s">
        <v>40</v>
      </c>
      <c r="R66" s="10" t="s">
        <v>39</v>
      </c>
      <c r="S66" s="10" t="s">
        <v>39</v>
      </c>
      <c r="T66" s="10" t="s">
        <v>38</v>
      </c>
      <c r="U66" s="10" t="s">
        <v>39</v>
      </c>
      <c r="V66" s="10" t="s">
        <v>39</v>
      </c>
      <c r="W66" s="10" t="s">
        <v>38</v>
      </c>
      <c r="X66" s="10" t="s">
        <v>39</v>
      </c>
      <c r="Y66" s="10" t="s">
        <v>39</v>
      </c>
      <c r="Z66" s="10" t="s">
        <v>38</v>
      </c>
      <c r="AA66" s="10" t="s">
        <v>49</v>
      </c>
      <c r="AB66" s="10" t="s">
        <v>60</v>
      </c>
      <c r="AC66" s="10" t="s">
        <v>38</v>
      </c>
      <c r="AD66" s="10" t="s">
        <v>39</v>
      </c>
      <c r="AE66" s="11" t="s">
        <v>38</v>
      </c>
    </row>
  </sheetData>
  <conditionalFormatting sqref="J1">
    <cfRule type="duplicateValues" dxfId="6" priority="6"/>
  </conditionalFormatting>
  <conditionalFormatting sqref="J1">
    <cfRule type="duplicateValues" dxfId="5" priority="1"/>
    <cfRule type="duplicateValues" dxfId="4" priority="2"/>
  </conditionalFormatting>
  <conditionalFormatting sqref="B1">
    <cfRule type="duplicateValues" dxfId="3" priority="7"/>
    <cfRule type="duplicateValues" dxfId="2" priority="8"/>
  </conditionalFormatting>
  <conditionalFormatting sqref="H1">
    <cfRule type="duplicateValues" dxfId="1" priority="9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16D2-6A8B-4962-8F54-7F0EBA72E38C}">
  <dimension ref="A1:AE66"/>
  <sheetViews>
    <sheetView tabSelected="1" workbookViewId="0">
      <selection sqref="A1:XFD1048576"/>
    </sheetView>
  </sheetViews>
  <sheetFormatPr baseColWidth="10" defaultRowHeight="13.2" x14ac:dyDescent="0.25"/>
  <sheetData>
    <row r="1" spans="1:31" x14ac:dyDescent="0.25">
      <c r="A1" t="s">
        <v>0</v>
      </c>
      <c r="B1" t="s">
        <v>1</v>
      </c>
      <c r="C1" t="s">
        <v>313</v>
      </c>
      <c r="D1" t="s">
        <v>2</v>
      </c>
      <c r="E1" t="s">
        <v>314</v>
      </c>
      <c r="F1" t="s">
        <v>4</v>
      </c>
      <c r="G1" t="s">
        <v>5</v>
      </c>
      <c r="H1" t="s">
        <v>315</v>
      </c>
      <c r="I1" t="s">
        <v>316</v>
      </c>
      <c r="J1" t="s">
        <v>317</v>
      </c>
      <c r="K1" t="s">
        <v>8</v>
      </c>
      <c r="L1" t="s">
        <v>9</v>
      </c>
      <c r="M1" t="s">
        <v>10</v>
      </c>
      <c r="N1" t="s">
        <v>318</v>
      </c>
      <c r="O1" t="s">
        <v>319</v>
      </c>
      <c r="P1" t="s">
        <v>320</v>
      </c>
      <c r="Q1" t="s">
        <v>321</v>
      </c>
      <c r="R1" t="s">
        <v>322</v>
      </c>
      <c r="S1" t="s">
        <v>323</v>
      </c>
      <c r="T1" t="s">
        <v>324</v>
      </c>
      <c r="U1" t="s">
        <v>325</v>
      </c>
      <c r="V1" t="s">
        <v>326</v>
      </c>
      <c r="W1" t="s">
        <v>327</v>
      </c>
      <c r="X1" t="s">
        <v>328</v>
      </c>
      <c r="Y1" t="s">
        <v>329</v>
      </c>
      <c r="Z1" t="s">
        <v>330</v>
      </c>
      <c r="AA1" t="s">
        <v>331</v>
      </c>
      <c r="AB1" t="s">
        <v>332</v>
      </c>
      <c r="AC1" t="s">
        <v>333</v>
      </c>
      <c r="AD1" t="s">
        <v>334</v>
      </c>
      <c r="AE1" t="s">
        <v>335</v>
      </c>
    </row>
    <row r="2" spans="1:31" x14ac:dyDescent="0.25">
      <c r="A2" t="s">
        <v>0</v>
      </c>
      <c r="B2" t="s">
        <v>1</v>
      </c>
      <c r="C2" t="s">
        <v>336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337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</row>
    <row r="3" spans="1:31" x14ac:dyDescent="0.25">
      <c r="A3" t="s">
        <v>29</v>
      </c>
      <c r="B3" t="s">
        <v>30</v>
      </c>
      <c r="C3" t="s">
        <v>338</v>
      </c>
      <c r="D3" t="s">
        <v>31</v>
      </c>
      <c r="E3" t="s">
        <v>32</v>
      </c>
      <c r="F3">
        <v>1</v>
      </c>
      <c r="G3" t="s">
        <v>33</v>
      </c>
      <c r="H3" t="s">
        <v>34</v>
      </c>
      <c r="I3" t="s">
        <v>339</v>
      </c>
      <c r="J3">
        <v>1201224465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39</v>
      </c>
      <c r="Q3" t="s">
        <v>40</v>
      </c>
      <c r="R3" t="s">
        <v>38</v>
      </c>
      <c r="S3" t="s">
        <v>39</v>
      </c>
      <c r="T3" t="s">
        <v>38</v>
      </c>
      <c r="U3" t="s">
        <v>38</v>
      </c>
      <c r="V3" t="s">
        <v>39</v>
      </c>
      <c r="W3" t="s">
        <v>41</v>
      </c>
      <c r="X3" t="s">
        <v>39</v>
      </c>
      <c r="Y3" t="s">
        <v>39</v>
      </c>
      <c r="Z3" t="s">
        <v>38</v>
      </c>
      <c r="AA3" t="s">
        <v>42</v>
      </c>
      <c r="AB3" t="s">
        <v>39</v>
      </c>
      <c r="AC3" t="s">
        <v>41</v>
      </c>
      <c r="AD3" t="s">
        <v>38</v>
      </c>
      <c r="AE3" t="s">
        <v>38</v>
      </c>
    </row>
    <row r="4" spans="1:31" x14ac:dyDescent="0.25">
      <c r="A4" t="s">
        <v>43</v>
      </c>
      <c r="B4" t="s">
        <v>44</v>
      </c>
      <c r="C4" t="s">
        <v>340</v>
      </c>
      <c r="D4" t="s">
        <v>45</v>
      </c>
      <c r="E4" t="s">
        <v>32</v>
      </c>
      <c r="F4">
        <v>1</v>
      </c>
      <c r="G4" t="s">
        <v>46</v>
      </c>
      <c r="H4" t="s">
        <v>47</v>
      </c>
      <c r="I4" t="s">
        <v>341</v>
      </c>
      <c r="J4">
        <v>1047458523</v>
      </c>
      <c r="K4" t="s">
        <v>48</v>
      </c>
      <c r="L4">
        <v>9</v>
      </c>
      <c r="M4" t="s">
        <v>37</v>
      </c>
      <c r="N4" t="s">
        <v>38</v>
      </c>
      <c r="O4" t="s">
        <v>42</v>
      </c>
      <c r="P4" t="s">
        <v>39</v>
      </c>
      <c r="Q4" t="s">
        <v>38</v>
      </c>
      <c r="R4" t="s">
        <v>42</v>
      </c>
      <c r="S4" t="s">
        <v>40</v>
      </c>
      <c r="T4" t="s">
        <v>38</v>
      </c>
      <c r="U4" t="s">
        <v>38</v>
      </c>
      <c r="V4" t="s">
        <v>39</v>
      </c>
      <c r="W4" t="s">
        <v>38</v>
      </c>
      <c r="X4" t="s">
        <v>42</v>
      </c>
      <c r="Y4" t="s">
        <v>39</v>
      </c>
      <c r="Z4" t="s">
        <v>38</v>
      </c>
      <c r="AA4" t="s">
        <v>42</v>
      </c>
      <c r="AB4" t="s">
        <v>49</v>
      </c>
      <c r="AC4" t="s">
        <v>38</v>
      </c>
      <c r="AD4" t="s">
        <v>42</v>
      </c>
      <c r="AE4" t="s">
        <v>41</v>
      </c>
    </row>
    <row r="5" spans="1:31" x14ac:dyDescent="0.25">
      <c r="A5" t="s">
        <v>50</v>
      </c>
      <c r="B5" t="s">
        <v>51</v>
      </c>
      <c r="C5" t="s">
        <v>342</v>
      </c>
      <c r="D5">
        <v>14</v>
      </c>
      <c r="E5" t="s">
        <v>32</v>
      </c>
      <c r="F5">
        <v>1</v>
      </c>
      <c r="G5" t="s">
        <v>33</v>
      </c>
      <c r="H5" t="s">
        <v>52</v>
      </c>
      <c r="I5" t="s">
        <v>343</v>
      </c>
      <c r="J5">
        <v>1143368292</v>
      </c>
      <c r="K5" t="s">
        <v>53</v>
      </c>
      <c r="L5">
        <v>9</v>
      </c>
      <c r="M5" t="s">
        <v>37</v>
      </c>
      <c r="N5" t="s">
        <v>42</v>
      </c>
      <c r="O5" t="s">
        <v>49</v>
      </c>
      <c r="P5" t="s">
        <v>49</v>
      </c>
      <c r="Q5" t="s">
        <v>38</v>
      </c>
      <c r="R5" t="s">
        <v>39</v>
      </c>
      <c r="S5" t="s">
        <v>39</v>
      </c>
      <c r="T5" t="s">
        <v>42</v>
      </c>
      <c r="U5" t="s">
        <v>42</v>
      </c>
      <c r="V5" t="s">
        <v>39</v>
      </c>
      <c r="W5" t="s">
        <v>38</v>
      </c>
      <c r="X5" t="s">
        <v>38</v>
      </c>
      <c r="Y5" t="s">
        <v>42</v>
      </c>
      <c r="Z5" t="s">
        <v>38</v>
      </c>
      <c r="AA5" t="s">
        <v>39</v>
      </c>
      <c r="AB5" t="s">
        <v>42</v>
      </c>
      <c r="AC5" t="s">
        <v>38</v>
      </c>
      <c r="AD5" t="s">
        <v>42</v>
      </c>
      <c r="AE5" t="s">
        <v>42</v>
      </c>
    </row>
    <row r="6" spans="1:31" x14ac:dyDescent="0.25">
      <c r="A6" t="s">
        <v>54</v>
      </c>
      <c r="B6" t="s">
        <v>55</v>
      </c>
      <c r="C6" t="s">
        <v>344</v>
      </c>
      <c r="D6" t="s">
        <v>56</v>
      </c>
      <c r="E6" t="s">
        <v>32</v>
      </c>
      <c r="F6">
        <v>2</v>
      </c>
      <c r="G6" t="s">
        <v>33</v>
      </c>
      <c r="H6" t="s">
        <v>57</v>
      </c>
      <c r="I6" t="s">
        <v>345</v>
      </c>
      <c r="J6">
        <v>1043306229</v>
      </c>
      <c r="K6" t="s">
        <v>58</v>
      </c>
      <c r="L6" t="s">
        <v>59</v>
      </c>
      <c r="M6" t="s">
        <v>37</v>
      </c>
      <c r="N6" t="s">
        <v>40</v>
      </c>
      <c r="O6" t="s">
        <v>38</v>
      </c>
      <c r="P6" t="s">
        <v>60</v>
      </c>
      <c r="Q6" t="s">
        <v>38</v>
      </c>
      <c r="R6" t="s">
        <v>42</v>
      </c>
      <c r="S6" t="s">
        <v>60</v>
      </c>
      <c r="T6" t="s">
        <v>42</v>
      </c>
      <c r="U6" t="s">
        <v>41</v>
      </c>
      <c r="V6" t="s">
        <v>39</v>
      </c>
      <c r="W6" t="s">
        <v>40</v>
      </c>
      <c r="X6" t="s">
        <v>42</v>
      </c>
      <c r="Y6" t="s">
        <v>60</v>
      </c>
      <c r="Z6" t="s">
        <v>40</v>
      </c>
      <c r="AA6" t="s">
        <v>42</v>
      </c>
      <c r="AB6" t="s">
        <v>39</v>
      </c>
      <c r="AC6" t="s">
        <v>40</v>
      </c>
      <c r="AD6" t="s">
        <v>42</v>
      </c>
      <c r="AE6" t="s">
        <v>41</v>
      </c>
    </row>
    <row r="7" spans="1:31" x14ac:dyDescent="0.25">
      <c r="A7" t="s">
        <v>61</v>
      </c>
      <c r="B7" t="s">
        <v>62</v>
      </c>
      <c r="C7" t="s">
        <v>346</v>
      </c>
      <c r="D7">
        <v>41</v>
      </c>
      <c r="E7" t="s">
        <v>32</v>
      </c>
      <c r="F7">
        <v>1</v>
      </c>
      <c r="G7" t="s">
        <v>63</v>
      </c>
      <c r="H7" t="s">
        <v>64</v>
      </c>
      <c r="I7" t="s">
        <v>347</v>
      </c>
      <c r="J7">
        <v>1041988653</v>
      </c>
      <c r="K7" t="s">
        <v>65</v>
      </c>
      <c r="L7">
        <v>8</v>
      </c>
      <c r="M7" t="s">
        <v>37</v>
      </c>
      <c r="N7" t="s">
        <v>40</v>
      </c>
      <c r="O7" t="s">
        <v>42</v>
      </c>
      <c r="P7" t="s">
        <v>49</v>
      </c>
      <c r="Q7" t="s">
        <v>38</v>
      </c>
      <c r="R7" t="s">
        <v>38</v>
      </c>
      <c r="S7" t="s">
        <v>38</v>
      </c>
      <c r="T7" t="s">
        <v>38</v>
      </c>
      <c r="U7" t="s">
        <v>42</v>
      </c>
      <c r="V7" t="s">
        <v>38</v>
      </c>
      <c r="W7" t="s">
        <v>38</v>
      </c>
      <c r="X7" t="s">
        <v>39</v>
      </c>
      <c r="Y7" t="s">
        <v>39</v>
      </c>
      <c r="Z7" t="s">
        <v>38</v>
      </c>
      <c r="AA7" t="s">
        <v>39</v>
      </c>
      <c r="AB7" t="s">
        <v>42</v>
      </c>
      <c r="AC7" t="s">
        <v>38</v>
      </c>
      <c r="AD7" t="s">
        <v>39</v>
      </c>
      <c r="AE7" t="s">
        <v>38</v>
      </c>
    </row>
    <row r="8" spans="1:31" x14ac:dyDescent="0.25">
      <c r="A8" t="s">
        <v>66</v>
      </c>
      <c r="B8" t="s">
        <v>67</v>
      </c>
      <c r="C8" t="s">
        <v>348</v>
      </c>
      <c r="D8">
        <v>49</v>
      </c>
      <c r="E8" t="s">
        <v>32</v>
      </c>
      <c r="F8">
        <v>1</v>
      </c>
      <c r="G8" t="s">
        <v>33</v>
      </c>
      <c r="H8" t="s">
        <v>68</v>
      </c>
      <c r="I8" t="s">
        <v>349</v>
      </c>
      <c r="J8">
        <v>1043988635</v>
      </c>
      <c r="K8" t="s">
        <v>69</v>
      </c>
      <c r="L8" t="s">
        <v>70</v>
      </c>
      <c r="M8" t="s">
        <v>37</v>
      </c>
      <c r="N8" t="s">
        <v>40</v>
      </c>
      <c r="O8" t="s">
        <v>42</v>
      </c>
      <c r="P8" t="s">
        <v>60</v>
      </c>
      <c r="Q8" t="s">
        <v>40</v>
      </c>
      <c r="R8" t="s">
        <v>42</v>
      </c>
      <c r="S8" t="s">
        <v>60</v>
      </c>
      <c r="T8" t="s">
        <v>42</v>
      </c>
      <c r="U8" t="s">
        <v>39</v>
      </c>
      <c r="V8" t="s">
        <v>60</v>
      </c>
      <c r="W8" t="s">
        <v>40</v>
      </c>
      <c r="X8" t="s">
        <v>40</v>
      </c>
      <c r="Y8" t="s">
        <v>60</v>
      </c>
      <c r="Z8" t="s">
        <v>40</v>
      </c>
      <c r="AA8" t="s">
        <v>60</v>
      </c>
      <c r="AB8" t="s">
        <v>60</v>
      </c>
      <c r="AC8" t="s">
        <v>42</v>
      </c>
      <c r="AD8" t="s">
        <v>38</v>
      </c>
      <c r="AE8" t="s">
        <v>40</v>
      </c>
    </row>
    <row r="9" spans="1:31" x14ac:dyDescent="0.25">
      <c r="A9" t="s">
        <v>71</v>
      </c>
      <c r="B9" t="s">
        <v>72</v>
      </c>
      <c r="C9" t="s">
        <v>350</v>
      </c>
      <c r="D9" t="s">
        <v>73</v>
      </c>
      <c r="E9" t="s">
        <v>32</v>
      </c>
      <c r="F9">
        <v>1</v>
      </c>
      <c r="G9" t="s">
        <v>33</v>
      </c>
      <c r="H9" t="s">
        <v>74</v>
      </c>
      <c r="I9" t="s">
        <v>351</v>
      </c>
      <c r="J9">
        <v>1201227814</v>
      </c>
      <c r="K9" t="s">
        <v>75</v>
      </c>
      <c r="L9" t="s">
        <v>76</v>
      </c>
      <c r="M9" t="s">
        <v>37</v>
      </c>
      <c r="N9" t="s">
        <v>38</v>
      </c>
      <c r="O9" t="s">
        <v>41</v>
      </c>
      <c r="P9" t="s">
        <v>60</v>
      </c>
      <c r="Q9" t="s">
        <v>38</v>
      </c>
      <c r="R9" t="s">
        <v>39</v>
      </c>
      <c r="S9" t="s">
        <v>60</v>
      </c>
      <c r="T9" t="s">
        <v>42</v>
      </c>
      <c r="U9" t="s">
        <v>60</v>
      </c>
      <c r="V9" t="s">
        <v>49</v>
      </c>
      <c r="W9" t="s">
        <v>41</v>
      </c>
      <c r="X9" t="s">
        <v>60</v>
      </c>
      <c r="Y9" t="s">
        <v>60</v>
      </c>
      <c r="Z9" t="s">
        <v>49</v>
      </c>
      <c r="AA9" t="s">
        <v>60</v>
      </c>
      <c r="AB9" t="s">
        <v>60</v>
      </c>
      <c r="AC9" t="s">
        <v>38</v>
      </c>
      <c r="AD9" t="s">
        <v>60</v>
      </c>
      <c r="AE9" t="s">
        <v>40</v>
      </c>
    </row>
    <row r="10" spans="1:31" x14ac:dyDescent="0.25">
      <c r="A10" t="s">
        <v>77</v>
      </c>
      <c r="B10" t="s">
        <v>78</v>
      </c>
      <c r="C10" t="s">
        <v>352</v>
      </c>
      <c r="D10">
        <v>34</v>
      </c>
      <c r="E10" t="s">
        <v>32</v>
      </c>
      <c r="F10">
        <v>1</v>
      </c>
      <c r="G10" t="s">
        <v>33</v>
      </c>
      <c r="H10" t="s">
        <v>79</v>
      </c>
      <c r="I10" t="s">
        <v>353</v>
      </c>
      <c r="J10">
        <v>1043989584</v>
      </c>
      <c r="K10" t="s">
        <v>65</v>
      </c>
      <c r="L10" t="s">
        <v>80</v>
      </c>
      <c r="M10" t="s">
        <v>81</v>
      </c>
      <c r="N10" t="s">
        <v>42</v>
      </c>
      <c r="O10" t="s">
        <v>49</v>
      </c>
      <c r="P10" t="s">
        <v>60</v>
      </c>
      <c r="Q10" t="s">
        <v>40</v>
      </c>
      <c r="R10" t="s">
        <v>49</v>
      </c>
      <c r="S10" t="s">
        <v>39</v>
      </c>
      <c r="T10" t="s">
        <v>42</v>
      </c>
      <c r="U10" t="s">
        <v>42</v>
      </c>
      <c r="V10" t="s">
        <v>39</v>
      </c>
      <c r="W10" t="s">
        <v>38</v>
      </c>
      <c r="X10" t="s">
        <v>38</v>
      </c>
      <c r="Y10" t="s">
        <v>39</v>
      </c>
      <c r="Z10" t="s">
        <v>38</v>
      </c>
      <c r="AA10" t="s">
        <v>39</v>
      </c>
      <c r="AB10" t="s">
        <v>39</v>
      </c>
      <c r="AC10" t="s">
        <v>38</v>
      </c>
      <c r="AD10" t="s">
        <v>39</v>
      </c>
      <c r="AE10" t="s">
        <v>38</v>
      </c>
    </row>
    <row r="11" spans="1:31" x14ac:dyDescent="0.25">
      <c r="A11" t="s">
        <v>82</v>
      </c>
      <c r="B11" t="s">
        <v>83</v>
      </c>
      <c r="C11" t="s">
        <v>354</v>
      </c>
      <c r="D11">
        <v>34</v>
      </c>
      <c r="E11" t="s">
        <v>32</v>
      </c>
      <c r="F11">
        <v>1</v>
      </c>
      <c r="G11" t="s">
        <v>33</v>
      </c>
      <c r="H11" t="s">
        <v>84</v>
      </c>
      <c r="I11" t="s">
        <v>355</v>
      </c>
      <c r="J11">
        <v>1201219741</v>
      </c>
      <c r="K11" t="s">
        <v>85</v>
      </c>
      <c r="L11">
        <v>8</v>
      </c>
      <c r="M11" t="s">
        <v>37</v>
      </c>
      <c r="N11" t="s">
        <v>41</v>
      </c>
      <c r="O11" t="s">
        <v>38</v>
      </c>
      <c r="P11" t="s">
        <v>49</v>
      </c>
      <c r="Q11" t="s">
        <v>40</v>
      </c>
      <c r="R11" t="s">
        <v>40</v>
      </c>
      <c r="S11" t="s">
        <v>39</v>
      </c>
      <c r="T11" t="s">
        <v>39</v>
      </c>
      <c r="U11" t="s">
        <v>40</v>
      </c>
      <c r="V11" t="s">
        <v>39</v>
      </c>
      <c r="W11" t="s">
        <v>38</v>
      </c>
      <c r="X11" t="s">
        <v>42</v>
      </c>
      <c r="Y11" t="s">
        <v>39</v>
      </c>
      <c r="Z11" t="s">
        <v>38</v>
      </c>
      <c r="AA11" t="s">
        <v>39</v>
      </c>
      <c r="AB11" t="s">
        <v>42</v>
      </c>
      <c r="AC11" t="s">
        <v>38</v>
      </c>
      <c r="AD11" t="s">
        <v>39</v>
      </c>
      <c r="AE11" t="s">
        <v>38</v>
      </c>
    </row>
    <row r="12" spans="1:31" x14ac:dyDescent="0.25">
      <c r="A12" t="s">
        <v>86</v>
      </c>
      <c r="B12" t="s">
        <v>87</v>
      </c>
      <c r="C12" t="s">
        <v>356</v>
      </c>
      <c r="D12">
        <v>33</v>
      </c>
      <c r="E12" t="s">
        <v>32</v>
      </c>
      <c r="F12">
        <v>1</v>
      </c>
      <c r="G12" t="s">
        <v>63</v>
      </c>
      <c r="H12" t="s">
        <v>88</v>
      </c>
      <c r="I12" t="s">
        <v>357</v>
      </c>
      <c r="J12">
        <v>1201223213</v>
      </c>
      <c r="K12" t="s">
        <v>58</v>
      </c>
      <c r="L12">
        <v>9</v>
      </c>
      <c r="M12" t="s">
        <v>37</v>
      </c>
      <c r="N12" t="s">
        <v>38</v>
      </c>
      <c r="O12" t="s">
        <v>49</v>
      </c>
      <c r="P12" t="s">
        <v>60</v>
      </c>
      <c r="Q12" t="s">
        <v>40</v>
      </c>
      <c r="R12" t="s">
        <v>38</v>
      </c>
      <c r="S12" t="s">
        <v>42</v>
      </c>
      <c r="T12" t="s">
        <v>38</v>
      </c>
      <c r="U12" t="s">
        <v>38</v>
      </c>
      <c r="V12" t="s">
        <v>39</v>
      </c>
      <c r="W12" t="s">
        <v>38</v>
      </c>
      <c r="X12" t="s">
        <v>39</v>
      </c>
      <c r="Y12" t="s">
        <v>49</v>
      </c>
      <c r="Z12" t="s">
        <v>38</v>
      </c>
      <c r="AA12" t="s">
        <v>39</v>
      </c>
      <c r="AB12" t="s">
        <v>39</v>
      </c>
      <c r="AC12" t="s">
        <v>38</v>
      </c>
      <c r="AD12" t="s">
        <v>39</v>
      </c>
      <c r="AE12" t="s">
        <v>38</v>
      </c>
    </row>
    <row r="13" spans="1:31" x14ac:dyDescent="0.25">
      <c r="A13" t="s">
        <v>89</v>
      </c>
      <c r="B13" t="s">
        <v>90</v>
      </c>
      <c r="C13" t="s">
        <v>358</v>
      </c>
      <c r="D13" t="s">
        <v>91</v>
      </c>
      <c r="E13" t="s">
        <v>32</v>
      </c>
      <c r="F13">
        <v>1</v>
      </c>
      <c r="G13" t="s">
        <v>33</v>
      </c>
      <c r="H13" t="s">
        <v>92</v>
      </c>
      <c r="I13" t="s">
        <v>359</v>
      </c>
      <c r="J13">
        <v>1201215942</v>
      </c>
      <c r="K13" t="s">
        <v>93</v>
      </c>
      <c r="L13">
        <v>9</v>
      </c>
      <c r="M13" t="s">
        <v>37</v>
      </c>
      <c r="N13" t="s">
        <v>40</v>
      </c>
      <c r="O13" t="s">
        <v>38</v>
      </c>
      <c r="P13" t="s">
        <v>39</v>
      </c>
      <c r="Q13" t="s">
        <v>40</v>
      </c>
      <c r="R13" t="s">
        <v>40</v>
      </c>
      <c r="S13" t="s">
        <v>39</v>
      </c>
      <c r="T13" t="s">
        <v>40</v>
      </c>
      <c r="U13" t="s">
        <v>39</v>
      </c>
      <c r="V13" t="s">
        <v>39</v>
      </c>
      <c r="W13" t="s">
        <v>40</v>
      </c>
      <c r="X13" t="s">
        <v>40</v>
      </c>
      <c r="Y13" t="s">
        <v>39</v>
      </c>
      <c r="Z13" t="s">
        <v>40</v>
      </c>
      <c r="AA13" t="s">
        <v>39</v>
      </c>
      <c r="AB13" t="s">
        <v>39</v>
      </c>
      <c r="AC13" t="s">
        <v>40</v>
      </c>
      <c r="AD13" t="s">
        <v>39</v>
      </c>
      <c r="AE13" t="s">
        <v>40</v>
      </c>
    </row>
    <row r="14" spans="1:31" x14ac:dyDescent="0.25">
      <c r="A14" t="s">
        <v>94</v>
      </c>
      <c r="B14" t="s">
        <v>95</v>
      </c>
      <c r="C14" t="s">
        <v>360</v>
      </c>
      <c r="D14">
        <v>39</v>
      </c>
      <c r="E14" t="s">
        <v>32</v>
      </c>
      <c r="F14">
        <v>1</v>
      </c>
      <c r="G14" t="s">
        <v>33</v>
      </c>
      <c r="H14" t="s">
        <v>96</v>
      </c>
      <c r="I14" t="s">
        <v>361</v>
      </c>
      <c r="J14">
        <v>1142926345</v>
      </c>
      <c r="K14" t="s">
        <v>58</v>
      </c>
      <c r="L14" t="s">
        <v>97</v>
      </c>
      <c r="M14" t="s">
        <v>37</v>
      </c>
      <c r="N14" t="s">
        <v>40</v>
      </c>
      <c r="O14" t="s">
        <v>41</v>
      </c>
      <c r="P14" t="s">
        <v>39</v>
      </c>
      <c r="Q14" t="s">
        <v>38</v>
      </c>
      <c r="R14" t="s">
        <v>42</v>
      </c>
      <c r="S14" t="s">
        <v>49</v>
      </c>
      <c r="T14" t="s">
        <v>42</v>
      </c>
      <c r="U14" t="s">
        <v>41</v>
      </c>
      <c r="V14" t="s">
        <v>60</v>
      </c>
      <c r="W14" t="s">
        <v>40</v>
      </c>
      <c r="X14" t="s">
        <v>39</v>
      </c>
      <c r="Y14" t="s">
        <v>39</v>
      </c>
      <c r="Z14" t="s">
        <v>41</v>
      </c>
      <c r="AA14" t="s">
        <v>38</v>
      </c>
      <c r="AB14" t="s">
        <v>39</v>
      </c>
      <c r="AC14" t="s">
        <v>40</v>
      </c>
      <c r="AD14" t="s">
        <v>38</v>
      </c>
      <c r="AE14" t="s">
        <v>41</v>
      </c>
    </row>
    <row r="15" spans="1:31" x14ac:dyDescent="0.25">
      <c r="A15" t="s">
        <v>98</v>
      </c>
      <c r="B15" t="s">
        <v>99</v>
      </c>
      <c r="C15" t="s">
        <v>362</v>
      </c>
      <c r="D15">
        <v>34</v>
      </c>
      <c r="E15" t="s">
        <v>32</v>
      </c>
      <c r="F15">
        <v>1</v>
      </c>
      <c r="G15" t="s">
        <v>33</v>
      </c>
      <c r="H15" t="s">
        <v>100</v>
      </c>
      <c r="I15" t="s">
        <v>363</v>
      </c>
      <c r="J15">
        <v>1041981730</v>
      </c>
      <c r="K15" t="s">
        <v>58</v>
      </c>
      <c r="L15" t="s">
        <v>101</v>
      </c>
      <c r="M15" t="s">
        <v>37</v>
      </c>
      <c r="N15" t="s">
        <v>60</v>
      </c>
      <c r="O15" t="s">
        <v>39</v>
      </c>
      <c r="P15" t="s">
        <v>39</v>
      </c>
      <c r="Q15" t="s">
        <v>40</v>
      </c>
      <c r="R15" t="s">
        <v>42</v>
      </c>
      <c r="S15" t="s">
        <v>42</v>
      </c>
      <c r="T15" t="s">
        <v>42</v>
      </c>
      <c r="U15" t="s">
        <v>42</v>
      </c>
      <c r="V15" t="s">
        <v>39</v>
      </c>
      <c r="W15" t="s">
        <v>38</v>
      </c>
      <c r="X15" t="s">
        <v>39</v>
      </c>
      <c r="Y15" t="s">
        <v>42</v>
      </c>
      <c r="Z15" t="s">
        <v>40</v>
      </c>
      <c r="AA15" t="s">
        <v>39</v>
      </c>
      <c r="AB15" t="s">
        <v>39</v>
      </c>
      <c r="AC15" t="s">
        <v>40</v>
      </c>
      <c r="AD15" t="s">
        <v>39</v>
      </c>
      <c r="AE15" t="s">
        <v>42</v>
      </c>
    </row>
    <row r="16" spans="1:31" x14ac:dyDescent="0.25">
      <c r="A16" t="s">
        <v>102</v>
      </c>
      <c r="B16" t="s">
        <v>103</v>
      </c>
      <c r="C16" t="s">
        <v>364</v>
      </c>
      <c r="D16">
        <v>43</v>
      </c>
      <c r="E16" t="s">
        <v>104</v>
      </c>
      <c r="F16">
        <v>1</v>
      </c>
      <c r="G16" t="s">
        <v>33</v>
      </c>
      <c r="H16" t="s">
        <v>105</v>
      </c>
      <c r="I16" t="s">
        <v>365</v>
      </c>
      <c r="J16">
        <v>1019092165</v>
      </c>
      <c r="K16" t="s">
        <v>106</v>
      </c>
      <c r="L16" t="s">
        <v>107</v>
      </c>
      <c r="M16" t="s">
        <v>37</v>
      </c>
      <c r="N16" t="s">
        <v>49</v>
      </c>
      <c r="O16" t="s">
        <v>42</v>
      </c>
      <c r="P16" t="s">
        <v>49</v>
      </c>
      <c r="Q16" t="s">
        <v>41</v>
      </c>
      <c r="R16" t="s">
        <v>49</v>
      </c>
      <c r="S16" t="s">
        <v>39</v>
      </c>
      <c r="T16" t="s">
        <v>38</v>
      </c>
      <c r="U16" t="s">
        <v>49</v>
      </c>
      <c r="V16" t="s">
        <v>39</v>
      </c>
      <c r="W16" t="s">
        <v>41</v>
      </c>
      <c r="X16" t="s">
        <v>41</v>
      </c>
      <c r="Y16" t="s">
        <v>39</v>
      </c>
      <c r="Z16" t="s">
        <v>41</v>
      </c>
      <c r="AA16" t="s">
        <v>39</v>
      </c>
      <c r="AB16" t="s">
        <v>39</v>
      </c>
      <c r="AC16" t="s">
        <v>42</v>
      </c>
      <c r="AD16" t="s">
        <v>42</v>
      </c>
      <c r="AE16" t="s">
        <v>41</v>
      </c>
    </row>
    <row r="17" spans="1:31" x14ac:dyDescent="0.25">
      <c r="A17" t="s">
        <v>108</v>
      </c>
      <c r="B17" t="s">
        <v>109</v>
      </c>
      <c r="C17" t="s">
        <v>366</v>
      </c>
      <c r="D17">
        <v>41</v>
      </c>
      <c r="E17" t="s">
        <v>32</v>
      </c>
      <c r="F17">
        <v>1</v>
      </c>
      <c r="G17" t="s">
        <v>63</v>
      </c>
      <c r="H17" t="s">
        <v>110</v>
      </c>
      <c r="I17" t="s">
        <v>367</v>
      </c>
      <c r="J17">
        <v>1043989724</v>
      </c>
      <c r="K17" t="s">
        <v>111</v>
      </c>
      <c r="L17" t="s">
        <v>112</v>
      </c>
      <c r="M17" t="s">
        <v>37</v>
      </c>
      <c r="N17" t="s">
        <v>40</v>
      </c>
      <c r="O17" t="s">
        <v>49</v>
      </c>
      <c r="P17" t="s">
        <v>49</v>
      </c>
      <c r="Q17" t="s">
        <v>42</v>
      </c>
      <c r="R17" t="s">
        <v>42</v>
      </c>
      <c r="S17" t="s">
        <v>60</v>
      </c>
      <c r="T17" t="s">
        <v>38</v>
      </c>
      <c r="U17" t="s">
        <v>42</v>
      </c>
      <c r="V17" t="s">
        <v>60</v>
      </c>
      <c r="W17" t="s">
        <v>40</v>
      </c>
      <c r="X17" t="s">
        <v>40</v>
      </c>
      <c r="Y17" t="s">
        <v>39</v>
      </c>
      <c r="Z17" t="s">
        <v>42</v>
      </c>
      <c r="AA17" t="s">
        <v>39</v>
      </c>
      <c r="AB17" t="s">
        <v>39</v>
      </c>
      <c r="AC17" t="s">
        <v>39</v>
      </c>
      <c r="AD17" t="s">
        <v>42</v>
      </c>
      <c r="AE17" t="s">
        <v>42</v>
      </c>
    </row>
    <row r="18" spans="1:31" x14ac:dyDescent="0.25">
      <c r="A18" t="s">
        <v>113</v>
      </c>
      <c r="B18" t="s">
        <v>114</v>
      </c>
      <c r="C18" t="s">
        <v>368</v>
      </c>
      <c r="D18">
        <v>37</v>
      </c>
      <c r="E18" t="s">
        <v>32</v>
      </c>
      <c r="F18">
        <v>1</v>
      </c>
      <c r="G18" t="s">
        <v>33</v>
      </c>
      <c r="H18" t="s">
        <v>115</v>
      </c>
      <c r="I18" t="s">
        <v>369</v>
      </c>
      <c r="J18">
        <v>1048942409</v>
      </c>
      <c r="K18" t="s">
        <v>116</v>
      </c>
      <c r="L18" t="s">
        <v>117</v>
      </c>
      <c r="M18" t="s">
        <v>37</v>
      </c>
      <c r="N18" t="s">
        <v>38</v>
      </c>
      <c r="O18" t="s">
        <v>42</v>
      </c>
      <c r="P18" t="s">
        <v>60</v>
      </c>
      <c r="Q18" t="s">
        <v>38</v>
      </c>
      <c r="R18" t="s">
        <v>42</v>
      </c>
      <c r="S18" t="s">
        <v>49</v>
      </c>
      <c r="T18" t="s">
        <v>39</v>
      </c>
      <c r="U18" t="s">
        <v>42</v>
      </c>
      <c r="V18" t="s">
        <v>60</v>
      </c>
      <c r="W18" t="s">
        <v>41</v>
      </c>
      <c r="X18" t="s">
        <v>49</v>
      </c>
      <c r="Y18" t="s">
        <v>49</v>
      </c>
      <c r="Z18" t="s">
        <v>40</v>
      </c>
      <c r="AA18" t="s">
        <v>60</v>
      </c>
      <c r="AB18" t="s">
        <v>49</v>
      </c>
      <c r="AC18" t="s">
        <v>41</v>
      </c>
      <c r="AD18" t="s">
        <v>49</v>
      </c>
      <c r="AE18" t="s">
        <v>39</v>
      </c>
    </row>
    <row r="19" spans="1:31" x14ac:dyDescent="0.25">
      <c r="A19" t="s">
        <v>118</v>
      </c>
      <c r="B19" t="s">
        <v>119</v>
      </c>
      <c r="C19" t="s">
        <v>370</v>
      </c>
      <c r="D19">
        <v>55</v>
      </c>
      <c r="E19" t="s">
        <v>32</v>
      </c>
      <c r="F19">
        <v>1</v>
      </c>
      <c r="G19" t="s">
        <v>33</v>
      </c>
      <c r="H19" t="s">
        <v>120</v>
      </c>
      <c r="I19" t="s">
        <v>371</v>
      </c>
      <c r="J19">
        <v>1201226770</v>
      </c>
      <c r="K19" t="s">
        <v>121</v>
      </c>
      <c r="L19" t="s">
        <v>122</v>
      </c>
      <c r="M19" t="s">
        <v>37</v>
      </c>
      <c r="N19" t="s">
        <v>40</v>
      </c>
      <c r="O19" t="s">
        <v>42</v>
      </c>
      <c r="P19" t="s">
        <v>39</v>
      </c>
      <c r="Q19" t="s">
        <v>38</v>
      </c>
      <c r="R19" t="s">
        <v>38</v>
      </c>
      <c r="S19" t="s">
        <v>39</v>
      </c>
      <c r="T19" t="s">
        <v>38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38</v>
      </c>
      <c r="AB19" t="s">
        <v>39</v>
      </c>
      <c r="AC19" t="s">
        <v>39</v>
      </c>
      <c r="AD19" t="s">
        <v>42</v>
      </c>
      <c r="AE19" t="s">
        <v>39</v>
      </c>
    </row>
    <row r="20" spans="1:31" x14ac:dyDescent="0.25">
      <c r="A20" t="s">
        <v>123</v>
      </c>
      <c r="B20" t="s">
        <v>124</v>
      </c>
      <c r="C20" t="s">
        <v>372</v>
      </c>
      <c r="D20">
        <v>37</v>
      </c>
      <c r="E20" t="s">
        <v>32</v>
      </c>
      <c r="F20">
        <v>1</v>
      </c>
      <c r="G20" t="s">
        <v>63</v>
      </c>
      <c r="H20" t="s">
        <v>125</v>
      </c>
      <c r="I20" t="s">
        <v>373</v>
      </c>
      <c r="J20">
        <v>1143343200</v>
      </c>
      <c r="K20" t="s">
        <v>126</v>
      </c>
      <c r="L20">
        <v>9</v>
      </c>
      <c r="M20" t="s">
        <v>37</v>
      </c>
      <c r="N20" t="s">
        <v>39</v>
      </c>
      <c r="O20" t="s">
        <v>39</v>
      </c>
      <c r="P20" t="s">
        <v>60</v>
      </c>
      <c r="Q20" t="s">
        <v>38</v>
      </c>
      <c r="R20" t="s">
        <v>38</v>
      </c>
      <c r="S20" t="s">
        <v>39</v>
      </c>
      <c r="T20" t="s">
        <v>38</v>
      </c>
      <c r="U20" t="s">
        <v>40</v>
      </c>
      <c r="V20" t="s">
        <v>49</v>
      </c>
      <c r="W20" t="s">
        <v>38</v>
      </c>
      <c r="X20" t="s">
        <v>49</v>
      </c>
      <c r="Y20" t="s">
        <v>60</v>
      </c>
      <c r="Z20" t="s">
        <v>38</v>
      </c>
      <c r="AA20" t="s">
        <v>40</v>
      </c>
      <c r="AB20" t="s">
        <v>49</v>
      </c>
      <c r="AC20" t="s">
        <v>38</v>
      </c>
      <c r="AD20" t="s">
        <v>39</v>
      </c>
      <c r="AE20" t="s">
        <v>39</v>
      </c>
    </row>
    <row r="21" spans="1:31" x14ac:dyDescent="0.25">
      <c r="A21" t="s">
        <v>127</v>
      </c>
      <c r="B21" t="s">
        <v>128</v>
      </c>
      <c r="C21" t="s">
        <v>374</v>
      </c>
      <c r="D21">
        <v>36</v>
      </c>
      <c r="E21" t="s">
        <v>32</v>
      </c>
      <c r="F21">
        <v>2</v>
      </c>
      <c r="G21" t="s">
        <v>46</v>
      </c>
      <c r="H21" t="s">
        <v>129</v>
      </c>
      <c r="I21" t="s">
        <v>375</v>
      </c>
      <c r="J21">
        <v>1142930960</v>
      </c>
      <c r="K21" t="s">
        <v>121</v>
      </c>
      <c r="L21" t="s">
        <v>130</v>
      </c>
      <c r="M21" t="s">
        <v>37</v>
      </c>
      <c r="N21" t="s">
        <v>38</v>
      </c>
      <c r="O21" t="s">
        <v>38</v>
      </c>
      <c r="P21" t="s">
        <v>60</v>
      </c>
      <c r="Q21" t="s">
        <v>40</v>
      </c>
      <c r="R21" t="s">
        <v>40</v>
      </c>
      <c r="S21" t="s">
        <v>60</v>
      </c>
      <c r="T21" t="s">
        <v>38</v>
      </c>
      <c r="U21" t="s">
        <v>41</v>
      </c>
      <c r="V21" t="s">
        <v>60</v>
      </c>
      <c r="W21" t="s">
        <v>40</v>
      </c>
      <c r="X21" t="s">
        <v>38</v>
      </c>
      <c r="Y21" t="s">
        <v>60</v>
      </c>
      <c r="Z21" t="s">
        <v>38</v>
      </c>
      <c r="AA21" t="s">
        <v>49</v>
      </c>
      <c r="AB21" t="s">
        <v>60</v>
      </c>
      <c r="AC21" t="s">
        <v>39</v>
      </c>
      <c r="AD21" t="s">
        <v>49</v>
      </c>
      <c r="AE21" t="s">
        <v>40</v>
      </c>
    </row>
    <row r="22" spans="1:31" x14ac:dyDescent="0.25">
      <c r="A22" t="s">
        <v>131</v>
      </c>
      <c r="B22" t="s">
        <v>132</v>
      </c>
      <c r="C22" t="s">
        <v>376</v>
      </c>
      <c r="D22" t="s">
        <v>133</v>
      </c>
      <c r="E22" t="s">
        <v>32</v>
      </c>
      <c r="F22">
        <v>1</v>
      </c>
      <c r="G22" t="s">
        <v>33</v>
      </c>
      <c r="H22" t="s">
        <v>134</v>
      </c>
      <c r="I22" t="s">
        <v>377</v>
      </c>
      <c r="J22">
        <v>1066743507</v>
      </c>
      <c r="K22" t="s">
        <v>48</v>
      </c>
      <c r="L22" t="s">
        <v>135</v>
      </c>
      <c r="M22" t="s">
        <v>37</v>
      </c>
      <c r="N22" t="s">
        <v>38</v>
      </c>
      <c r="O22" t="s">
        <v>60</v>
      </c>
      <c r="P22" t="s">
        <v>60</v>
      </c>
      <c r="Q22" t="s">
        <v>40</v>
      </c>
      <c r="R22" t="s">
        <v>41</v>
      </c>
      <c r="S22" t="s">
        <v>60</v>
      </c>
      <c r="T22" t="s">
        <v>39</v>
      </c>
      <c r="U22" t="s">
        <v>39</v>
      </c>
      <c r="V22" t="s">
        <v>60</v>
      </c>
      <c r="W22" t="s">
        <v>40</v>
      </c>
      <c r="X22" t="s">
        <v>49</v>
      </c>
      <c r="Y22" t="s">
        <v>42</v>
      </c>
      <c r="Z22" t="s">
        <v>40</v>
      </c>
      <c r="AA22" t="s">
        <v>39</v>
      </c>
      <c r="AB22" t="s">
        <v>49</v>
      </c>
      <c r="AC22" t="s">
        <v>40</v>
      </c>
      <c r="AD22" t="s">
        <v>60</v>
      </c>
      <c r="AE22" t="s">
        <v>40</v>
      </c>
    </row>
    <row r="23" spans="1:31" x14ac:dyDescent="0.25">
      <c r="A23" t="s">
        <v>136</v>
      </c>
      <c r="B23" t="s">
        <v>137</v>
      </c>
      <c r="C23" t="s">
        <v>378</v>
      </c>
      <c r="D23">
        <v>35</v>
      </c>
      <c r="E23" t="s">
        <v>32</v>
      </c>
      <c r="F23">
        <v>1</v>
      </c>
      <c r="G23" t="s">
        <v>63</v>
      </c>
      <c r="H23" t="s">
        <v>138</v>
      </c>
      <c r="I23" t="s">
        <v>379</v>
      </c>
      <c r="J23">
        <v>1137531827</v>
      </c>
      <c r="K23" t="s">
        <v>65</v>
      </c>
      <c r="L23" t="s">
        <v>59</v>
      </c>
      <c r="M23" t="s">
        <v>37</v>
      </c>
      <c r="N23" t="s">
        <v>40</v>
      </c>
      <c r="O23" t="s">
        <v>42</v>
      </c>
      <c r="P23" t="s">
        <v>39</v>
      </c>
      <c r="Q23" t="s">
        <v>40</v>
      </c>
      <c r="R23" t="s">
        <v>38</v>
      </c>
      <c r="S23" t="s">
        <v>39</v>
      </c>
      <c r="T23" t="s">
        <v>39</v>
      </c>
      <c r="U23" t="s">
        <v>42</v>
      </c>
      <c r="V23" t="s">
        <v>39</v>
      </c>
      <c r="W23" t="s">
        <v>40</v>
      </c>
      <c r="X23" t="s">
        <v>41</v>
      </c>
      <c r="Y23" t="s">
        <v>39</v>
      </c>
      <c r="Z23" t="s">
        <v>38</v>
      </c>
      <c r="AA23" t="s">
        <v>39</v>
      </c>
      <c r="AB23" t="s">
        <v>39</v>
      </c>
      <c r="AC23" t="s">
        <v>41</v>
      </c>
      <c r="AD23" t="s">
        <v>41</v>
      </c>
      <c r="AE23" t="s">
        <v>41</v>
      </c>
    </row>
    <row r="24" spans="1:31" x14ac:dyDescent="0.25">
      <c r="A24" t="s">
        <v>139</v>
      </c>
      <c r="B24" t="s">
        <v>140</v>
      </c>
      <c r="C24" t="s">
        <v>380</v>
      </c>
      <c r="D24" t="s">
        <v>141</v>
      </c>
      <c r="E24" t="s">
        <v>32</v>
      </c>
      <c r="F24">
        <v>2</v>
      </c>
      <c r="G24" t="s">
        <v>63</v>
      </c>
      <c r="H24" t="s">
        <v>142</v>
      </c>
      <c r="I24" t="s">
        <v>381</v>
      </c>
      <c r="J24">
        <v>1049584330</v>
      </c>
      <c r="K24" t="s">
        <v>85</v>
      </c>
      <c r="L24">
        <v>8</v>
      </c>
      <c r="M24" t="s">
        <v>37</v>
      </c>
      <c r="N24" t="s">
        <v>40</v>
      </c>
      <c r="O24" t="s">
        <v>38</v>
      </c>
      <c r="P24" t="s">
        <v>39</v>
      </c>
      <c r="Q24" t="s">
        <v>41</v>
      </c>
      <c r="R24" t="s">
        <v>42</v>
      </c>
      <c r="S24" t="s">
        <v>60</v>
      </c>
      <c r="T24" t="s">
        <v>38</v>
      </c>
      <c r="U24" t="s">
        <v>39</v>
      </c>
      <c r="V24" t="s">
        <v>39</v>
      </c>
      <c r="W24" t="s">
        <v>40</v>
      </c>
      <c r="X24" t="s">
        <v>49</v>
      </c>
      <c r="Y24" t="s">
        <v>41</v>
      </c>
      <c r="Z24" t="s">
        <v>40</v>
      </c>
      <c r="AA24" t="s">
        <v>41</v>
      </c>
      <c r="AB24" t="s">
        <v>49</v>
      </c>
      <c r="AC24" t="s">
        <v>41</v>
      </c>
      <c r="AD24" t="s">
        <v>41</v>
      </c>
      <c r="AE24" t="s">
        <v>40</v>
      </c>
    </row>
    <row r="25" spans="1:31" x14ac:dyDescent="0.25">
      <c r="A25" t="s">
        <v>143</v>
      </c>
      <c r="B25" t="s">
        <v>144</v>
      </c>
      <c r="C25" t="s">
        <v>382</v>
      </c>
      <c r="D25">
        <v>35</v>
      </c>
      <c r="E25" t="s">
        <v>32</v>
      </c>
      <c r="F25">
        <v>2</v>
      </c>
      <c r="G25" t="s">
        <v>63</v>
      </c>
      <c r="H25" t="s">
        <v>145</v>
      </c>
      <c r="I25" t="s">
        <v>383</v>
      </c>
      <c r="J25">
        <v>1201229756</v>
      </c>
      <c r="K25" t="s">
        <v>65</v>
      </c>
      <c r="L25">
        <v>8</v>
      </c>
      <c r="M25" t="s">
        <v>81</v>
      </c>
      <c r="N25" t="s">
        <v>40</v>
      </c>
      <c r="O25" t="s">
        <v>38</v>
      </c>
      <c r="P25" t="s">
        <v>39</v>
      </c>
      <c r="Q25" t="s">
        <v>40</v>
      </c>
      <c r="R25" t="s">
        <v>38</v>
      </c>
      <c r="S25" t="s">
        <v>39</v>
      </c>
      <c r="T25" t="s">
        <v>38</v>
      </c>
      <c r="U25" t="s">
        <v>38</v>
      </c>
      <c r="V25" t="s">
        <v>39</v>
      </c>
      <c r="W25" t="s">
        <v>39</v>
      </c>
      <c r="X25" t="s">
        <v>39</v>
      </c>
      <c r="Y25" t="s">
        <v>39</v>
      </c>
      <c r="Z25" t="s">
        <v>38</v>
      </c>
      <c r="AA25" t="s">
        <v>39</v>
      </c>
      <c r="AB25" t="s">
        <v>39</v>
      </c>
      <c r="AC25" t="s">
        <v>38</v>
      </c>
      <c r="AD25" t="s">
        <v>39</v>
      </c>
      <c r="AE25" t="s">
        <v>38</v>
      </c>
    </row>
    <row r="26" spans="1:31" x14ac:dyDescent="0.25">
      <c r="A26" t="s">
        <v>146</v>
      </c>
      <c r="B26" t="s">
        <v>147</v>
      </c>
      <c r="C26" t="s">
        <v>384</v>
      </c>
      <c r="D26">
        <v>40</v>
      </c>
      <c r="E26" t="s">
        <v>32</v>
      </c>
      <c r="F26">
        <v>1</v>
      </c>
      <c r="G26" t="s">
        <v>33</v>
      </c>
      <c r="H26" t="s">
        <v>148</v>
      </c>
      <c r="I26" t="s">
        <v>385</v>
      </c>
      <c r="J26">
        <v>1041987678</v>
      </c>
      <c r="K26" t="s">
        <v>149</v>
      </c>
      <c r="L26">
        <v>9</v>
      </c>
      <c r="M26" t="s">
        <v>37</v>
      </c>
      <c r="N26" t="s">
        <v>42</v>
      </c>
      <c r="O26" t="s">
        <v>42</v>
      </c>
      <c r="P26" t="s">
        <v>39</v>
      </c>
      <c r="Q26" t="s">
        <v>38</v>
      </c>
      <c r="R26" t="s">
        <v>38</v>
      </c>
      <c r="S26" t="s">
        <v>60</v>
      </c>
      <c r="T26" t="s">
        <v>38</v>
      </c>
      <c r="U26" t="s">
        <v>38</v>
      </c>
      <c r="V26" t="s">
        <v>42</v>
      </c>
      <c r="W26" t="s">
        <v>38</v>
      </c>
      <c r="X26" t="s">
        <v>39</v>
      </c>
      <c r="Y26" t="s">
        <v>38</v>
      </c>
      <c r="Z26" t="s">
        <v>38</v>
      </c>
      <c r="AA26" t="s">
        <v>38</v>
      </c>
      <c r="AB26" t="s">
        <v>42</v>
      </c>
      <c r="AC26" t="s">
        <v>38</v>
      </c>
      <c r="AD26" t="s">
        <v>38</v>
      </c>
      <c r="AE26" t="s">
        <v>39</v>
      </c>
    </row>
    <row r="27" spans="1:31" x14ac:dyDescent="0.25">
      <c r="A27" t="s">
        <v>150</v>
      </c>
      <c r="B27" t="s">
        <v>151</v>
      </c>
      <c r="C27" t="s">
        <v>386</v>
      </c>
      <c r="D27">
        <v>33</v>
      </c>
      <c r="E27" t="s">
        <v>32</v>
      </c>
      <c r="F27">
        <v>3</v>
      </c>
      <c r="G27" t="s">
        <v>46</v>
      </c>
      <c r="H27" t="s">
        <v>152</v>
      </c>
      <c r="I27" t="s">
        <v>387</v>
      </c>
      <c r="J27">
        <v>1013633833</v>
      </c>
      <c r="K27" t="s">
        <v>126</v>
      </c>
      <c r="L27" t="s">
        <v>59</v>
      </c>
      <c r="M27" t="s">
        <v>37</v>
      </c>
      <c r="N27" t="s">
        <v>40</v>
      </c>
      <c r="O27" t="s">
        <v>38</v>
      </c>
      <c r="P27" t="s">
        <v>49</v>
      </c>
      <c r="Q27" t="s">
        <v>40</v>
      </c>
      <c r="R27" t="s">
        <v>40</v>
      </c>
      <c r="S27" t="s">
        <v>39</v>
      </c>
      <c r="T27" t="s">
        <v>40</v>
      </c>
      <c r="U27" t="s">
        <v>38</v>
      </c>
      <c r="V27" t="s">
        <v>60</v>
      </c>
      <c r="W27" t="s">
        <v>40</v>
      </c>
      <c r="X27" t="s">
        <v>39</v>
      </c>
      <c r="Y27" t="s">
        <v>39</v>
      </c>
      <c r="Z27" t="s">
        <v>41</v>
      </c>
      <c r="AA27" t="s">
        <v>39</v>
      </c>
      <c r="AB27" t="s">
        <v>60</v>
      </c>
      <c r="AC27" t="s">
        <v>38</v>
      </c>
      <c r="AD27" t="s">
        <v>41</v>
      </c>
      <c r="AE27" t="s">
        <v>39</v>
      </c>
    </row>
    <row r="28" spans="1:31" x14ac:dyDescent="0.25">
      <c r="A28" t="s">
        <v>153</v>
      </c>
      <c r="B28" t="s">
        <v>154</v>
      </c>
      <c r="C28" t="s">
        <v>388</v>
      </c>
      <c r="D28">
        <v>53</v>
      </c>
      <c r="E28" t="s">
        <v>32</v>
      </c>
      <c r="F28">
        <v>1</v>
      </c>
      <c r="G28" t="s">
        <v>155</v>
      </c>
      <c r="H28" t="s">
        <v>156</v>
      </c>
      <c r="I28" t="s">
        <v>389</v>
      </c>
      <c r="J28">
        <v>1052737856</v>
      </c>
      <c r="K28" t="s">
        <v>157</v>
      </c>
      <c r="L28" t="s">
        <v>158</v>
      </c>
      <c r="M28" t="s">
        <v>37</v>
      </c>
      <c r="N28" t="s">
        <v>40</v>
      </c>
      <c r="O28" t="s">
        <v>41</v>
      </c>
      <c r="P28" t="s">
        <v>39</v>
      </c>
      <c r="Q28" t="s">
        <v>41</v>
      </c>
      <c r="R28" t="s">
        <v>41</v>
      </c>
      <c r="S28" t="s">
        <v>41</v>
      </c>
      <c r="T28" t="s">
        <v>40</v>
      </c>
      <c r="U28" t="s">
        <v>41</v>
      </c>
      <c r="V28" t="s">
        <v>41</v>
      </c>
      <c r="W28" t="s">
        <v>40</v>
      </c>
      <c r="X28" t="s">
        <v>60</v>
      </c>
      <c r="Y28" t="s">
        <v>60</v>
      </c>
      <c r="Z28" t="s">
        <v>41</v>
      </c>
      <c r="AA28" t="s">
        <v>40</v>
      </c>
      <c r="AB28" t="s">
        <v>40</v>
      </c>
      <c r="AC28" t="s">
        <v>49</v>
      </c>
      <c r="AD28" t="s">
        <v>40</v>
      </c>
      <c r="AE28" t="s">
        <v>40</v>
      </c>
    </row>
    <row r="29" spans="1:31" x14ac:dyDescent="0.25">
      <c r="A29" t="s">
        <v>159</v>
      </c>
      <c r="B29" t="s">
        <v>160</v>
      </c>
      <c r="C29" t="s">
        <v>390</v>
      </c>
      <c r="D29">
        <v>40</v>
      </c>
      <c r="E29" t="s">
        <v>32</v>
      </c>
      <c r="F29">
        <v>1</v>
      </c>
      <c r="G29" t="s">
        <v>33</v>
      </c>
      <c r="H29" t="s">
        <v>161</v>
      </c>
      <c r="I29" t="s">
        <v>391</v>
      </c>
      <c r="J29">
        <v>1051987969</v>
      </c>
      <c r="K29" t="s">
        <v>162</v>
      </c>
      <c r="L29" t="s">
        <v>130</v>
      </c>
      <c r="M29" t="s">
        <v>37</v>
      </c>
      <c r="N29" t="s">
        <v>60</v>
      </c>
      <c r="O29" t="s">
        <v>60</v>
      </c>
      <c r="P29" t="s">
        <v>49</v>
      </c>
      <c r="Q29" t="s">
        <v>41</v>
      </c>
      <c r="R29" t="s">
        <v>42</v>
      </c>
      <c r="S29" t="s">
        <v>60</v>
      </c>
      <c r="T29" t="s">
        <v>49</v>
      </c>
      <c r="U29" t="s">
        <v>38</v>
      </c>
      <c r="V29" t="s">
        <v>60</v>
      </c>
      <c r="W29" t="s">
        <v>60</v>
      </c>
      <c r="X29" t="s">
        <v>40</v>
      </c>
      <c r="Y29" t="s">
        <v>60</v>
      </c>
      <c r="Z29" t="s">
        <v>41</v>
      </c>
      <c r="AA29" t="s">
        <v>49</v>
      </c>
      <c r="AB29" t="s">
        <v>49</v>
      </c>
      <c r="AC29" t="s">
        <v>60</v>
      </c>
      <c r="AD29" t="s">
        <v>49</v>
      </c>
      <c r="AE29" t="s">
        <v>60</v>
      </c>
    </row>
    <row r="30" spans="1:31" x14ac:dyDescent="0.25">
      <c r="A30" t="s">
        <v>163</v>
      </c>
      <c r="B30" t="s">
        <v>164</v>
      </c>
      <c r="C30" t="s">
        <v>392</v>
      </c>
      <c r="D30">
        <v>36</v>
      </c>
      <c r="E30" t="s">
        <v>32</v>
      </c>
      <c r="F30">
        <v>1</v>
      </c>
      <c r="G30" t="s">
        <v>33</v>
      </c>
      <c r="H30" t="s">
        <v>165</v>
      </c>
      <c r="I30" t="s">
        <v>393</v>
      </c>
      <c r="J30">
        <v>1201229121</v>
      </c>
      <c r="K30" t="s">
        <v>85</v>
      </c>
      <c r="L30">
        <v>8</v>
      </c>
      <c r="M30" t="s">
        <v>81</v>
      </c>
      <c r="N30" t="s">
        <v>38</v>
      </c>
      <c r="O30" t="s">
        <v>38</v>
      </c>
      <c r="P30" t="s">
        <v>49</v>
      </c>
      <c r="Q30" t="s">
        <v>38</v>
      </c>
      <c r="R30" t="s">
        <v>41</v>
      </c>
      <c r="S30" t="s">
        <v>49</v>
      </c>
      <c r="T30" t="s">
        <v>40</v>
      </c>
      <c r="U30" t="s">
        <v>38</v>
      </c>
      <c r="V30" t="s">
        <v>49</v>
      </c>
      <c r="W30" t="s">
        <v>40</v>
      </c>
      <c r="X30" t="s">
        <v>40</v>
      </c>
      <c r="Y30" t="s">
        <v>49</v>
      </c>
      <c r="Z30" t="s">
        <v>40</v>
      </c>
      <c r="AA30" t="s">
        <v>49</v>
      </c>
      <c r="AB30" t="s">
        <v>49</v>
      </c>
      <c r="AC30" t="s">
        <v>40</v>
      </c>
      <c r="AD30" t="s">
        <v>42</v>
      </c>
      <c r="AE30" t="s">
        <v>60</v>
      </c>
    </row>
    <row r="31" spans="1:31" x14ac:dyDescent="0.25">
      <c r="A31" t="s">
        <v>166</v>
      </c>
      <c r="B31" t="s">
        <v>167</v>
      </c>
      <c r="C31" t="s">
        <v>394</v>
      </c>
      <c r="D31" t="s">
        <v>168</v>
      </c>
      <c r="E31" t="s">
        <v>32</v>
      </c>
      <c r="F31">
        <v>2</v>
      </c>
      <c r="G31" t="s">
        <v>33</v>
      </c>
      <c r="H31" t="s">
        <v>169</v>
      </c>
      <c r="I31" t="s">
        <v>395</v>
      </c>
      <c r="J31">
        <v>1201224427</v>
      </c>
      <c r="K31" t="s">
        <v>85</v>
      </c>
      <c r="L31">
        <v>9</v>
      </c>
      <c r="M31" t="s">
        <v>37</v>
      </c>
      <c r="N31" t="s">
        <v>40</v>
      </c>
      <c r="O31" t="s">
        <v>41</v>
      </c>
      <c r="P31" t="s">
        <v>39</v>
      </c>
      <c r="Q31" t="s">
        <v>42</v>
      </c>
      <c r="R31" t="s">
        <v>38</v>
      </c>
      <c r="S31" t="s">
        <v>42</v>
      </c>
      <c r="T31" t="s">
        <v>38</v>
      </c>
      <c r="U31" t="s">
        <v>38</v>
      </c>
      <c r="V31" t="s">
        <v>39</v>
      </c>
      <c r="W31" t="s">
        <v>38</v>
      </c>
      <c r="X31" t="s">
        <v>39</v>
      </c>
      <c r="Y31" t="s">
        <v>38</v>
      </c>
      <c r="Z31" t="s">
        <v>38</v>
      </c>
      <c r="AA31" t="s">
        <v>40</v>
      </c>
      <c r="AB31" t="s">
        <v>38</v>
      </c>
      <c r="AC31" t="s">
        <v>40</v>
      </c>
      <c r="AD31" t="s">
        <v>41</v>
      </c>
      <c r="AE31" t="s">
        <v>38</v>
      </c>
    </row>
    <row r="32" spans="1:31" x14ac:dyDescent="0.25">
      <c r="A32" t="s">
        <v>170</v>
      </c>
      <c r="B32" t="s">
        <v>171</v>
      </c>
      <c r="C32" t="s">
        <v>396</v>
      </c>
      <c r="D32">
        <v>50</v>
      </c>
      <c r="E32" t="s">
        <v>32</v>
      </c>
      <c r="F32">
        <v>1</v>
      </c>
      <c r="G32" t="s">
        <v>63</v>
      </c>
      <c r="H32" t="s">
        <v>172</v>
      </c>
      <c r="I32" t="s">
        <v>397</v>
      </c>
      <c r="J32">
        <v>5622519</v>
      </c>
      <c r="K32" t="s">
        <v>65</v>
      </c>
      <c r="L32" t="s">
        <v>130</v>
      </c>
      <c r="M32" t="s">
        <v>37</v>
      </c>
      <c r="N32" t="s">
        <v>40</v>
      </c>
      <c r="O32" t="s">
        <v>42</v>
      </c>
      <c r="P32" t="s">
        <v>42</v>
      </c>
      <c r="Q32" t="s">
        <v>40</v>
      </c>
      <c r="R32" t="s">
        <v>39</v>
      </c>
      <c r="S32" t="s">
        <v>39</v>
      </c>
      <c r="T32" t="s">
        <v>60</v>
      </c>
      <c r="U32" t="s">
        <v>39</v>
      </c>
      <c r="V32" t="s">
        <v>42</v>
      </c>
      <c r="W32" t="s">
        <v>40</v>
      </c>
      <c r="X32" t="s">
        <v>42</v>
      </c>
      <c r="Y32" t="s">
        <v>39</v>
      </c>
      <c r="Z32" t="s">
        <v>40</v>
      </c>
      <c r="AA32" t="s">
        <v>39</v>
      </c>
      <c r="AB32" t="s">
        <v>42</v>
      </c>
      <c r="AC32" t="s">
        <v>40</v>
      </c>
      <c r="AD32" t="s">
        <v>40</v>
      </c>
      <c r="AE32" t="s">
        <v>42</v>
      </c>
    </row>
    <row r="33" spans="1:31" x14ac:dyDescent="0.25">
      <c r="A33" t="s">
        <v>173</v>
      </c>
      <c r="B33" t="s">
        <v>174</v>
      </c>
      <c r="C33" t="s">
        <v>398</v>
      </c>
      <c r="D33" t="s">
        <v>175</v>
      </c>
      <c r="E33" t="s">
        <v>32</v>
      </c>
      <c r="F33">
        <v>1</v>
      </c>
      <c r="G33" t="s">
        <v>33</v>
      </c>
      <c r="H33" t="s">
        <v>176</v>
      </c>
      <c r="I33" t="s">
        <v>399</v>
      </c>
      <c r="J33">
        <v>1201222818</v>
      </c>
      <c r="K33" t="s">
        <v>177</v>
      </c>
      <c r="L33" t="s">
        <v>178</v>
      </c>
      <c r="M33" t="s">
        <v>37</v>
      </c>
      <c r="N33" t="s">
        <v>38</v>
      </c>
      <c r="O33" t="s">
        <v>41</v>
      </c>
      <c r="P33" t="s">
        <v>60</v>
      </c>
      <c r="Q33" t="s">
        <v>38</v>
      </c>
      <c r="R33" t="s">
        <v>38</v>
      </c>
      <c r="S33" t="s">
        <v>60</v>
      </c>
      <c r="T33" t="s">
        <v>39</v>
      </c>
      <c r="U33" t="s">
        <v>38</v>
      </c>
      <c r="V33" t="s">
        <v>60</v>
      </c>
      <c r="W33" t="s">
        <v>38</v>
      </c>
      <c r="X33" t="s">
        <v>39</v>
      </c>
      <c r="Y33" t="s">
        <v>39</v>
      </c>
      <c r="Z33" t="s">
        <v>38</v>
      </c>
      <c r="AA33" t="s">
        <v>38</v>
      </c>
      <c r="AB33" t="s">
        <v>39</v>
      </c>
      <c r="AC33" t="s">
        <v>38</v>
      </c>
      <c r="AD33" t="s">
        <v>38</v>
      </c>
      <c r="AE33" t="s">
        <v>38</v>
      </c>
    </row>
    <row r="34" spans="1:31" x14ac:dyDescent="0.25">
      <c r="A34" t="s">
        <v>179</v>
      </c>
      <c r="B34" t="s">
        <v>180</v>
      </c>
      <c r="C34" t="s">
        <v>400</v>
      </c>
      <c r="D34">
        <v>30</v>
      </c>
      <c r="E34" t="s">
        <v>32</v>
      </c>
      <c r="F34">
        <v>2</v>
      </c>
      <c r="G34" t="s">
        <v>63</v>
      </c>
      <c r="H34" t="s">
        <v>181</v>
      </c>
      <c r="I34" t="s">
        <v>401</v>
      </c>
      <c r="J34">
        <v>1043315241</v>
      </c>
      <c r="K34" t="s">
        <v>182</v>
      </c>
      <c r="L34" t="s">
        <v>183</v>
      </c>
      <c r="M34" t="s">
        <v>37</v>
      </c>
      <c r="N34" t="s">
        <v>38</v>
      </c>
      <c r="O34" t="s">
        <v>42</v>
      </c>
      <c r="P34" t="s">
        <v>39</v>
      </c>
      <c r="Q34" t="s">
        <v>38</v>
      </c>
      <c r="R34" t="s">
        <v>38</v>
      </c>
      <c r="S34" t="s">
        <v>39</v>
      </c>
      <c r="T34" t="s">
        <v>38</v>
      </c>
      <c r="U34" t="s">
        <v>38</v>
      </c>
      <c r="V34" t="s">
        <v>39</v>
      </c>
      <c r="W34" t="s">
        <v>38</v>
      </c>
      <c r="X34" t="s">
        <v>42</v>
      </c>
      <c r="Y34" t="s">
        <v>39</v>
      </c>
      <c r="Z34" t="s">
        <v>38</v>
      </c>
      <c r="AA34" t="s">
        <v>39</v>
      </c>
      <c r="AB34" t="s">
        <v>39</v>
      </c>
      <c r="AC34" t="s">
        <v>42</v>
      </c>
      <c r="AD34" t="s">
        <v>38</v>
      </c>
      <c r="AE34" t="s">
        <v>38</v>
      </c>
    </row>
    <row r="35" spans="1:31" x14ac:dyDescent="0.25">
      <c r="A35" t="s">
        <v>184</v>
      </c>
      <c r="B35" t="s">
        <v>185</v>
      </c>
      <c r="C35" t="s">
        <v>402</v>
      </c>
      <c r="D35">
        <v>34</v>
      </c>
      <c r="E35" t="s">
        <v>32</v>
      </c>
      <c r="F35">
        <v>1</v>
      </c>
      <c r="G35" t="s">
        <v>33</v>
      </c>
      <c r="H35" t="s">
        <v>186</v>
      </c>
      <c r="I35" t="s">
        <v>403</v>
      </c>
      <c r="J35">
        <v>1201229599</v>
      </c>
      <c r="K35" t="s">
        <v>187</v>
      </c>
      <c r="L35" t="s">
        <v>130</v>
      </c>
      <c r="M35" t="s">
        <v>37</v>
      </c>
      <c r="N35" t="s">
        <v>39</v>
      </c>
      <c r="O35" t="s">
        <v>38</v>
      </c>
      <c r="P35" t="s">
        <v>38</v>
      </c>
      <c r="Q35" t="s">
        <v>42</v>
      </c>
      <c r="R35" t="s">
        <v>38</v>
      </c>
      <c r="S35" t="s">
        <v>39</v>
      </c>
      <c r="T35" t="s">
        <v>60</v>
      </c>
      <c r="U35" t="s">
        <v>42</v>
      </c>
      <c r="V35" t="s">
        <v>39</v>
      </c>
      <c r="W35" t="s">
        <v>39</v>
      </c>
      <c r="X35" t="s">
        <v>39</v>
      </c>
      <c r="Y35" t="s">
        <v>39</v>
      </c>
      <c r="Z35" t="s">
        <v>42</v>
      </c>
      <c r="AA35" t="s">
        <v>39</v>
      </c>
      <c r="AB35" t="s">
        <v>39</v>
      </c>
      <c r="AC35" t="s">
        <v>60</v>
      </c>
      <c r="AD35" t="s">
        <v>38</v>
      </c>
      <c r="AE35" t="s">
        <v>40</v>
      </c>
    </row>
    <row r="36" spans="1:31" x14ac:dyDescent="0.25">
      <c r="A36" t="s">
        <v>188</v>
      </c>
      <c r="B36" t="s">
        <v>189</v>
      </c>
      <c r="C36" t="s">
        <v>404</v>
      </c>
      <c r="D36">
        <v>38</v>
      </c>
      <c r="E36" t="s">
        <v>32</v>
      </c>
      <c r="F36">
        <v>2</v>
      </c>
      <c r="G36" t="s">
        <v>46</v>
      </c>
      <c r="H36" t="s">
        <v>190</v>
      </c>
      <c r="I36" t="s">
        <v>405</v>
      </c>
      <c r="J36">
        <v>1043311647</v>
      </c>
      <c r="K36" t="s">
        <v>191</v>
      </c>
      <c r="L36" t="s">
        <v>97</v>
      </c>
      <c r="M36" t="s">
        <v>37</v>
      </c>
      <c r="N36" t="s">
        <v>40</v>
      </c>
      <c r="O36" t="s">
        <v>60</v>
      </c>
      <c r="P36" t="s">
        <v>60</v>
      </c>
      <c r="Q36" t="s">
        <v>40</v>
      </c>
      <c r="R36" t="s">
        <v>42</v>
      </c>
      <c r="S36" t="s">
        <v>42</v>
      </c>
      <c r="T36" t="s">
        <v>38</v>
      </c>
      <c r="U36" t="s">
        <v>42</v>
      </c>
      <c r="V36" t="s">
        <v>60</v>
      </c>
      <c r="W36" t="s">
        <v>40</v>
      </c>
      <c r="X36" t="s">
        <v>42</v>
      </c>
      <c r="Y36" t="s">
        <v>60</v>
      </c>
      <c r="Z36" t="s">
        <v>40</v>
      </c>
      <c r="AA36" t="s">
        <v>60</v>
      </c>
      <c r="AB36" t="s">
        <v>60</v>
      </c>
      <c r="AC36" t="s">
        <v>60</v>
      </c>
      <c r="AD36" t="s">
        <v>60</v>
      </c>
      <c r="AE36" t="s">
        <v>41</v>
      </c>
    </row>
    <row r="37" spans="1:31" x14ac:dyDescent="0.25">
      <c r="A37" t="s">
        <v>192</v>
      </c>
      <c r="B37" t="s">
        <v>193</v>
      </c>
      <c r="C37" t="s">
        <v>406</v>
      </c>
      <c r="D37">
        <v>42</v>
      </c>
      <c r="E37" t="s">
        <v>32</v>
      </c>
      <c r="F37">
        <v>1</v>
      </c>
      <c r="G37" t="s">
        <v>33</v>
      </c>
      <c r="H37" t="s">
        <v>194</v>
      </c>
      <c r="I37" t="s">
        <v>407</v>
      </c>
      <c r="J37">
        <v>1101461705</v>
      </c>
      <c r="K37" t="s">
        <v>195</v>
      </c>
      <c r="L37" t="s">
        <v>59</v>
      </c>
      <c r="M37" t="s">
        <v>37</v>
      </c>
      <c r="N37" t="s">
        <v>38</v>
      </c>
      <c r="O37" t="s">
        <v>38</v>
      </c>
      <c r="P37" t="s">
        <v>42</v>
      </c>
      <c r="Q37" t="s">
        <v>38</v>
      </c>
      <c r="R37" t="s">
        <v>38</v>
      </c>
      <c r="S37" t="s">
        <v>39</v>
      </c>
      <c r="T37" t="s">
        <v>39</v>
      </c>
      <c r="U37" t="s">
        <v>39</v>
      </c>
      <c r="V37" t="s">
        <v>38</v>
      </c>
      <c r="W37" t="s">
        <v>38</v>
      </c>
      <c r="X37" t="s">
        <v>39</v>
      </c>
      <c r="Y37" t="s">
        <v>39</v>
      </c>
      <c r="Z37" t="s">
        <v>38</v>
      </c>
      <c r="AA37" t="s">
        <v>39</v>
      </c>
      <c r="AB37" t="s">
        <v>42</v>
      </c>
      <c r="AC37" t="s">
        <v>38</v>
      </c>
      <c r="AD37" t="s">
        <v>39</v>
      </c>
      <c r="AE37" t="s">
        <v>38</v>
      </c>
    </row>
    <row r="38" spans="1:31" x14ac:dyDescent="0.25">
      <c r="A38" t="s">
        <v>196</v>
      </c>
      <c r="B38" t="s">
        <v>197</v>
      </c>
      <c r="C38" t="s">
        <v>408</v>
      </c>
      <c r="D38">
        <v>35</v>
      </c>
      <c r="E38" t="s">
        <v>32</v>
      </c>
      <c r="F38">
        <v>1</v>
      </c>
      <c r="G38" t="s">
        <v>33</v>
      </c>
      <c r="H38" t="s">
        <v>198</v>
      </c>
      <c r="I38" t="s">
        <v>409</v>
      </c>
      <c r="J38">
        <v>1127663904</v>
      </c>
      <c r="K38" t="s">
        <v>199</v>
      </c>
      <c r="L38">
        <v>8</v>
      </c>
      <c r="M38" t="s">
        <v>37</v>
      </c>
      <c r="N38" t="s">
        <v>38</v>
      </c>
      <c r="O38" t="s">
        <v>39</v>
      </c>
      <c r="P38" t="s">
        <v>39</v>
      </c>
      <c r="Q38" t="s">
        <v>39</v>
      </c>
      <c r="R38" t="s">
        <v>38</v>
      </c>
      <c r="S38" t="s">
        <v>39</v>
      </c>
      <c r="T38" t="s">
        <v>49</v>
      </c>
      <c r="U38" t="s">
        <v>40</v>
      </c>
      <c r="V38" t="s">
        <v>39</v>
      </c>
      <c r="W38" t="s">
        <v>40</v>
      </c>
      <c r="X38" t="s">
        <v>49</v>
      </c>
      <c r="Y38" t="s">
        <v>39</v>
      </c>
      <c r="Z38" t="s">
        <v>40</v>
      </c>
      <c r="AA38" t="s">
        <v>49</v>
      </c>
      <c r="AB38" t="s">
        <v>49</v>
      </c>
      <c r="AC38" t="s">
        <v>39</v>
      </c>
      <c r="AD38" t="s">
        <v>49</v>
      </c>
      <c r="AE38" t="s">
        <v>38</v>
      </c>
    </row>
    <row r="39" spans="1:31" x14ac:dyDescent="0.25">
      <c r="A39" t="s">
        <v>200</v>
      </c>
      <c r="B39" t="s">
        <v>201</v>
      </c>
      <c r="C39" t="s">
        <v>410</v>
      </c>
      <c r="D39">
        <v>35</v>
      </c>
      <c r="E39" t="s">
        <v>32</v>
      </c>
      <c r="F39">
        <v>1</v>
      </c>
      <c r="G39" t="s">
        <v>33</v>
      </c>
      <c r="H39" t="s">
        <v>202</v>
      </c>
      <c r="I39" t="s">
        <v>411</v>
      </c>
      <c r="J39">
        <v>1201221293</v>
      </c>
      <c r="K39" t="s">
        <v>85</v>
      </c>
      <c r="L39" t="s">
        <v>178</v>
      </c>
      <c r="M39" t="s">
        <v>37</v>
      </c>
      <c r="N39" t="s">
        <v>40</v>
      </c>
      <c r="O39" t="s">
        <v>42</v>
      </c>
      <c r="P39" t="s">
        <v>60</v>
      </c>
      <c r="Q39" t="s">
        <v>42</v>
      </c>
      <c r="R39" t="s">
        <v>40</v>
      </c>
      <c r="S39" t="s">
        <v>39</v>
      </c>
      <c r="T39" t="s">
        <v>42</v>
      </c>
      <c r="U39" t="s">
        <v>42</v>
      </c>
      <c r="V39" t="s">
        <v>39</v>
      </c>
      <c r="W39" t="s">
        <v>42</v>
      </c>
      <c r="X39" t="s">
        <v>39</v>
      </c>
      <c r="Y39" t="s">
        <v>39</v>
      </c>
      <c r="Z39" t="s">
        <v>42</v>
      </c>
      <c r="AA39" t="s">
        <v>39</v>
      </c>
      <c r="AB39" t="s">
        <v>39</v>
      </c>
      <c r="AC39" t="s">
        <v>42</v>
      </c>
      <c r="AD39" t="s">
        <v>42</v>
      </c>
      <c r="AE39" t="s">
        <v>38</v>
      </c>
    </row>
    <row r="40" spans="1:31" x14ac:dyDescent="0.25">
      <c r="A40" t="s">
        <v>203</v>
      </c>
      <c r="B40" t="s">
        <v>204</v>
      </c>
      <c r="C40" t="s">
        <v>412</v>
      </c>
      <c r="D40">
        <v>42</v>
      </c>
      <c r="E40" t="s">
        <v>32</v>
      </c>
      <c r="F40">
        <v>2</v>
      </c>
      <c r="G40" t="s">
        <v>155</v>
      </c>
      <c r="H40" t="s">
        <v>205</v>
      </c>
      <c r="I40" t="s">
        <v>413</v>
      </c>
      <c r="J40">
        <v>1011594377</v>
      </c>
      <c r="K40" t="s">
        <v>65</v>
      </c>
      <c r="L40">
        <v>9</v>
      </c>
      <c r="M40" t="s">
        <v>37</v>
      </c>
      <c r="N40" t="s">
        <v>40</v>
      </c>
      <c r="O40" t="s">
        <v>39</v>
      </c>
      <c r="P40" t="s">
        <v>39</v>
      </c>
      <c r="Q40" t="s">
        <v>41</v>
      </c>
      <c r="R40" t="s">
        <v>42</v>
      </c>
      <c r="S40" t="s">
        <v>60</v>
      </c>
      <c r="T40" t="s">
        <v>40</v>
      </c>
      <c r="U40" t="s">
        <v>42</v>
      </c>
      <c r="V40" t="s">
        <v>39</v>
      </c>
      <c r="W40" t="s">
        <v>38</v>
      </c>
      <c r="X40" t="s">
        <v>49</v>
      </c>
      <c r="Y40" t="s">
        <v>39</v>
      </c>
      <c r="Z40" t="s">
        <v>42</v>
      </c>
      <c r="AA40" t="s">
        <v>39</v>
      </c>
      <c r="AB40" t="s">
        <v>39</v>
      </c>
      <c r="AC40" t="s">
        <v>49</v>
      </c>
      <c r="AD40" t="s">
        <v>38</v>
      </c>
      <c r="AE40" t="s">
        <v>39</v>
      </c>
    </row>
    <row r="41" spans="1:31" x14ac:dyDescent="0.25">
      <c r="A41" t="s">
        <v>206</v>
      </c>
      <c r="B41" t="s">
        <v>207</v>
      </c>
      <c r="C41" t="s">
        <v>414</v>
      </c>
      <c r="D41">
        <v>41</v>
      </c>
      <c r="E41" t="s">
        <v>32</v>
      </c>
      <c r="F41">
        <v>1</v>
      </c>
      <c r="G41" t="s">
        <v>33</v>
      </c>
      <c r="H41" t="s">
        <v>208</v>
      </c>
      <c r="I41" t="s">
        <v>415</v>
      </c>
      <c r="J41">
        <v>1041986755</v>
      </c>
      <c r="K41" t="s">
        <v>182</v>
      </c>
      <c r="L41" t="s">
        <v>209</v>
      </c>
      <c r="M41" t="s">
        <v>37</v>
      </c>
      <c r="N41" t="s">
        <v>40</v>
      </c>
      <c r="O41" t="s">
        <v>39</v>
      </c>
      <c r="P41" t="s">
        <v>39</v>
      </c>
      <c r="Q41" t="s">
        <v>40</v>
      </c>
      <c r="R41" t="s">
        <v>38</v>
      </c>
      <c r="S41" t="s">
        <v>49</v>
      </c>
      <c r="T41" t="s">
        <v>49</v>
      </c>
      <c r="U41" t="s">
        <v>42</v>
      </c>
      <c r="V41" t="s">
        <v>49</v>
      </c>
      <c r="W41" t="s">
        <v>40</v>
      </c>
      <c r="X41" t="s">
        <v>49</v>
      </c>
      <c r="Y41" t="s">
        <v>39</v>
      </c>
      <c r="Z41" t="s">
        <v>42</v>
      </c>
      <c r="AA41" t="s">
        <v>39</v>
      </c>
      <c r="AB41" t="s">
        <v>49</v>
      </c>
      <c r="AC41" t="s">
        <v>49</v>
      </c>
      <c r="AD41" t="s">
        <v>40</v>
      </c>
      <c r="AE41" t="s">
        <v>40</v>
      </c>
    </row>
    <row r="42" spans="1:31" x14ac:dyDescent="0.25">
      <c r="A42" t="s">
        <v>210</v>
      </c>
      <c r="B42" t="s">
        <v>211</v>
      </c>
      <c r="C42" t="s">
        <v>416</v>
      </c>
      <c r="D42">
        <v>32</v>
      </c>
      <c r="E42" t="s">
        <v>32</v>
      </c>
      <c r="F42">
        <v>1</v>
      </c>
      <c r="G42" t="s">
        <v>33</v>
      </c>
      <c r="H42" t="s">
        <v>212</v>
      </c>
      <c r="I42" t="s">
        <v>417</v>
      </c>
      <c r="J42">
        <v>7046798</v>
      </c>
      <c r="K42" t="s">
        <v>213</v>
      </c>
      <c r="L42">
        <v>8</v>
      </c>
      <c r="M42" t="s">
        <v>37</v>
      </c>
      <c r="N42" t="s">
        <v>41</v>
      </c>
      <c r="O42" t="s">
        <v>39</v>
      </c>
      <c r="P42" t="s">
        <v>60</v>
      </c>
      <c r="Q42" t="s">
        <v>40</v>
      </c>
      <c r="R42" t="s">
        <v>38</v>
      </c>
      <c r="S42" t="s">
        <v>49</v>
      </c>
      <c r="T42" t="s">
        <v>40</v>
      </c>
      <c r="U42" t="s">
        <v>41</v>
      </c>
      <c r="V42" t="s">
        <v>60</v>
      </c>
      <c r="W42" t="s">
        <v>40</v>
      </c>
      <c r="X42" t="s">
        <v>42</v>
      </c>
      <c r="Y42" t="s">
        <v>39</v>
      </c>
      <c r="Z42" t="s">
        <v>40</v>
      </c>
      <c r="AA42" t="s">
        <v>38</v>
      </c>
      <c r="AB42" t="s">
        <v>60</v>
      </c>
      <c r="AC42" t="s">
        <v>40</v>
      </c>
      <c r="AD42" t="s">
        <v>42</v>
      </c>
      <c r="AE42" t="s">
        <v>60</v>
      </c>
    </row>
    <row r="43" spans="1:31" x14ac:dyDescent="0.25">
      <c r="A43" t="s">
        <v>214</v>
      </c>
      <c r="B43" t="s">
        <v>215</v>
      </c>
      <c r="C43" t="s">
        <v>418</v>
      </c>
      <c r="D43">
        <v>34</v>
      </c>
      <c r="E43" t="s">
        <v>32</v>
      </c>
      <c r="F43">
        <v>2</v>
      </c>
      <c r="G43" t="s">
        <v>46</v>
      </c>
      <c r="H43" t="s">
        <v>216</v>
      </c>
      <c r="I43" t="s">
        <v>419</v>
      </c>
      <c r="J43">
        <v>1201224783</v>
      </c>
      <c r="K43" t="s">
        <v>217</v>
      </c>
      <c r="L43" t="s">
        <v>218</v>
      </c>
      <c r="M43" t="s">
        <v>37</v>
      </c>
      <c r="N43" t="s">
        <v>40</v>
      </c>
      <c r="O43" t="s">
        <v>41</v>
      </c>
      <c r="P43" t="s">
        <v>39</v>
      </c>
      <c r="Q43" t="s">
        <v>40</v>
      </c>
      <c r="R43" t="s">
        <v>38</v>
      </c>
      <c r="S43" t="s">
        <v>60</v>
      </c>
      <c r="T43" t="s">
        <v>40</v>
      </c>
      <c r="U43" t="s">
        <v>41</v>
      </c>
      <c r="V43" t="s">
        <v>60</v>
      </c>
      <c r="W43" t="s">
        <v>40</v>
      </c>
      <c r="X43" t="s">
        <v>39</v>
      </c>
      <c r="Y43" t="s">
        <v>60</v>
      </c>
      <c r="Z43" t="s">
        <v>40</v>
      </c>
      <c r="AA43" t="s">
        <v>41</v>
      </c>
      <c r="AB43" t="s">
        <v>60</v>
      </c>
      <c r="AC43" t="s">
        <v>40</v>
      </c>
      <c r="AD43" t="s">
        <v>60</v>
      </c>
      <c r="AE43" t="s">
        <v>40</v>
      </c>
    </row>
    <row r="44" spans="1:31" x14ac:dyDescent="0.25">
      <c r="A44" t="s">
        <v>219</v>
      </c>
      <c r="B44" t="s">
        <v>220</v>
      </c>
      <c r="C44" t="s">
        <v>420</v>
      </c>
      <c r="D44">
        <v>40</v>
      </c>
      <c r="E44" t="s">
        <v>32</v>
      </c>
      <c r="F44">
        <v>1</v>
      </c>
      <c r="G44" t="s">
        <v>63</v>
      </c>
      <c r="H44" t="s">
        <v>221</v>
      </c>
      <c r="I44" t="s">
        <v>421</v>
      </c>
      <c r="J44">
        <v>1126257844</v>
      </c>
      <c r="K44" t="s">
        <v>85</v>
      </c>
      <c r="L44" t="s">
        <v>59</v>
      </c>
      <c r="M44" t="s">
        <v>37</v>
      </c>
      <c r="N44" t="s">
        <v>39</v>
      </c>
      <c r="O44" t="s">
        <v>60</v>
      </c>
      <c r="P44" t="s">
        <v>60</v>
      </c>
      <c r="Q44" t="s">
        <v>40</v>
      </c>
      <c r="R44" t="s">
        <v>49</v>
      </c>
      <c r="S44" t="s">
        <v>60</v>
      </c>
      <c r="T44" t="s">
        <v>40</v>
      </c>
      <c r="U44" t="s">
        <v>39</v>
      </c>
      <c r="V44" t="s">
        <v>60</v>
      </c>
      <c r="W44" t="s">
        <v>40</v>
      </c>
      <c r="X44" t="s">
        <v>39</v>
      </c>
      <c r="Y44" t="s">
        <v>60</v>
      </c>
      <c r="Z44" t="s">
        <v>40</v>
      </c>
      <c r="AA44" t="s">
        <v>60</v>
      </c>
      <c r="AB44" t="s">
        <v>42</v>
      </c>
      <c r="AC44" t="s">
        <v>38</v>
      </c>
      <c r="AD44" t="s">
        <v>49</v>
      </c>
      <c r="AE44" t="s">
        <v>38</v>
      </c>
    </row>
    <row r="45" spans="1:31" x14ac:dyDescent="0.25">
      <c r="A45" t="s">
        <v>219</v>
      </c>
      <c r="B45" t="s">
        <v>220</v>
      </c>
      <c r="C45" t="s">
        <v>420</v>
      </c>
      <c r="D45">
        <v>40</v>
      </c>
      <c r="E45" t="s">
        <v>32</v>
      </c>
      <c r="F45">
        <v>1</v>
      </c>
      <c r="G45" t="s">
        <v>63</v>
      </c>
      <c r="H45" t="s">
        <v>222</v>
      </c>
      <c r="I45" t="s">
        <v>422</v>
      </c>
      <c r="J45">
        <v>1126257845</v>
      </c>
      <c r="K45" t="s">
        <v>85</v>
      </c>
      <c r="L45" t="s">
        <v>223</v>
      </c>
      <c r="M45" t="s">
        <v>37</v>
      </c>
      <c r="N45" t="s">
        <v>40</v>
      </c>
      <c r="O45" t="s">
        <v>49</v>
      </c>
      <c r="P45" t="s">
        <v>49</v>
      </c>
      <c r="Q45" t="s">
        <v>40</v>
      </c>
      <c r="R45" t="s">
        <v>49</v>
      </c>
      <c r="S45" t="s">
        <v>60</v>
      </c>
      <c r="T45" t="s">
        <v>40</v>
      </c>
      <c r="U45" t="s">
        <v>39</v>
      </c>
      <c r="V45" t="s">
        <v>60</v>
      </c>
      <c r="W45" t="s">
        <v>40</v>
      </c>
      <c r="X45" t="s">
        <v>39</v>
      </c>
      <c r="Y45" t="s">
        <v>60</v>
      </c>
      <c r="Z45" t="s">
        <v>40</v>
      </c>
      <c r="AA45" t="s">
        <v>49</v>
      </c>
      <c r="AB45" t="s">
        <v>38</v>
      </c>
      <c r="AC45" t="s">
        <v>40</v>
      </c>
      <c r="AD45" t="s">
        <v>60</v>
      </c>
      <c r="AE45" t="s">
        <v>40</v>
      </c>
    </row>
    <row r="46" spans="1:31" x14ac:dyDescent="0.25">
      <c r="A46" t="s">
        <v>224</v>
      </c>
      <c r="B46" t="s">
        <v>225</v>
      </c>
      <c r="C46" t="s">
        <v>423</v>
      </c>
      <c r="D46" t="s">
        <v>31</v>
      </c>
      <c r="E46" t="s">
        <v>104</v>
      </c>
      <c r="F46">
        <v>1</v>
      </c>
      <c r="G46" t="s">
        <v>33</v>
      </c>
      <c r="H46" t="s">
        <v>226</v>
      </c>
      <c r="I46" t="s">
        <v>424</v>
      </c>
      <c r="J46">
        <v>1142931455</v>
      </c>
      <c r="K46" t="s">
        <v>65</v>
      </c>
      <c r="L46" t="s">
        <v>227</v>
      </c>
      <c r="M46" t="s">
        <v>37</v>
      </c>
      <c r="N46" t="s">
        <v>38</v>
      </c>
      <c r="O46" t="s">
        <v>38</v>
      </c>
      <c r="P46" t="s">
        <v>60</v>
      </c>
      <c r="Q46" t="s">
        <v>39</v>
      </c>
      <c r="R46" t="s">
        <v>38</v>
      </c>
      <c r="S46" t="s">
        <v>39</v>
      </c>
      <c r="T46" t="s">
        <v>60</v>
      </c>
      <c r="U46" t="s">
        <v>39</v>
      </c>
      <c r="V46" t="s">
        <v>39</v>
      </c>
      <c r="W46" t="s">
        <v>38</v>
      </c>
      <c r="X46" t="s">
        <v>39</v>
      </c>
      <c r="Y46" t="s">
        <v>39</v>
      </c>
      <c r="Z46" t="s">
        <v>38</v>
      </c>
      <c r="AA46" t="s">
        <v>39</v>
      </c>
      <c r="AB46" t="s">
        <v>39</v>
      </c>
      <c r="AC46" t="s">
        <v>39</v>
      </c>
      <c r="AD46" t="s">
        <v>40</v>
      </c>
      <c r="AE46" t="s">
        <v>38</v>
      </c>
    </row>
    <row r="47" spans="1:31" x14ac:dyDescent="0.25">
      <c r="A47" t="s">
        <v>228</v>
      </c>
      <c r="B47" t="s">
        <v>229</v>
      </c>
      <c r="C47" t="s">
        <v>425</v>
      </c>
      <c r="D47">
        <v>48</v>
      </c>
      <c r="E47" t="s">
        <v>32</v>
      </c>
      <c r="F47">
        <v>1</v>
      </c>
      <c r="G47" t="s">
        <v>230</v>
      </c>
      <c r="H47" t="s">
        <v>231</v>
      </c>
      <c r="I47" t="s">
        <v>426</v>
      </c>
      <c r="J47">
        <v>1042589832</v>
      </c>
      <c r="K47" t="s">
        <v>232</v>
      </c>
      <c r="L47" t="s">
        <v>59</v>
      </c>
      <c r="M47" t="s">
        <v>37</v>
      </c>
      <c r="N47" t="s">
        <v>49</v>
      </c>
      <c r="O47" t="s">
        <v>60</v>
      </c>
      <c r="P47" t="s">
        <v>49</v>
      </c>
      <c r="Q47" t="s">
        <v>38</v>
      </c>
      <c r="R47" t="s">
        <v>42</v>
      </c>
      <c r="S47" t="s">
        <v>39</v>
      </c>
      <c r="T47" t="s">
        <v>42</v>
      </c>
      <c r="U47" t="s">
        <v>42</v>
      </c>
      <c r="V47" t="s">
        <v>39</v>
      </c>
      <c r="W47" t="s">
        <v>38</v>
      </c>
      <c r="X47" t="s">
        <v>39</v>
      </c>
      <c r="Y47" t="s">
        <v>39</v>
      </c>
      <c r="Z47" t="s">
        <v>38</v>
      </c>
      <c r="AA47" t="s">
        <v>39</v>
      </c>
      <c r="AB47" t="s">
        <v>38</v>
      </c>
      <c r="AC47" t="s">
        <v>38</v>
      </c>
      <c r="AD47" t="s">
        <v>39</v>
      </c>
      <c r="AE47" t="s">
        <v>38</v>
      </c>
    </row>
    <row r="48" spans="1:31" x14ac:dyDescent="0.25">
      <c r="A48" t="s">
        <v>233</v>
      </c>
      <c r="B48" t="s">
        <v>234</v>
      </c>
      <c r="C48" t="s">
        <v>427</v>
      </c>
      <c r="D48">
        <v>42</v>
      </c>
      <c r="E48" t="s">
        <v>32</v>
      </c>
      <c r="F48">
        <v>2</v>
      </c>
      <c r="G48" t="s">
        <v>46</v>
      </c>
      <c r="H48" t="s">
        <v>235</v>
      </c>
      <c r="I48" t="s">
        <v>428</v>
      </c>
      <c r="J48">
        <v>1142926164</v>
      </c>
      <c r="K48" t="s">
        <v>48</v>
      </c>
      <c r="L48" t="s">
        <v>236</v>
      </c>
      <c r="M48" t="s">
        <v>37</v>
      </c>
      <c r="N48" t="s">
        <v>40</v>
      </c>
      <c r="O48" t="s">
        <v>38</v>
      </c>
      <c r="P48" t="s">
        <v>38</v>
      </c>
      <c r="Q48" t="s">
        <v>38</v>
      </c>
      <c r="R48" t="s">
        <v>49</v>
      </c>
      <c r="S48" t="s">
        <v>40</v>
      </c>
      <c r="T48" t="s">
        <v>41</v>
      </c>
      <c r="U48" t="s">
        <v>49</v>
      </c>
      <c r="V48" t="s">
        <v>38</v>
      </c>
      <c r="W48" t="s">
        <v>41</v>
      </c>
      <c r="X48" t="s">
        <v>40</v>
      </c>
      <c r="Y48" t="s">
        <v>49</v>
      </c>
      <c r="Z48" t="s">
        <v>41</v>
      </c>
      <c r="AA48" t="s">
        <v>49</v>
      </c>
      <c r="AB48" t="s">
        <v>39</v>
      </c>
      <c r="AC48" t="s">
        <v>38</v>
      </c>
      <c r="AD48" t="s">
        <v>49</v>
      </c>
      <c r="AE48" t="s">
        <v>49</v>
      </c>
    </row>
    <row r="49" spans="1:31" x14ac:dyDescent="0.25">
      <c r="A49" t="s">
        <v>237</v>
      </c>
      <c r="B49" t="s">
        <v>238</v>
      </c>
      <c r="C49" t="s">
        <v>429</v>
      </c>
      <c r="D49">
        <v>34</v>
      </c>
      <c r="E49" t="s">
        <v>32</v>
      </c>
      <c r="F49">
        <v>1</v>
      </c>
      <c r="G49" t="s">
        <v>33</v>
      </c>
      <c r="H49" t="s">
        <v>239</v>
      </c>
      <c r="I49" t="s">
        <v>430</v>
      </c>
      <c r="J49">
        <v>1092950109</v>
      </c>
      <c r="K49" t="s">
        <v>58</v>
      </c>
      <c r="L49" t="s">
        <v>240</v>
      </c>
      <c r="M49" t="s">
        <v>37</v>
      </c>
      <c r="N49" t="s">
        <v>40</v>
      </c>
      <c r="O49" t="s">
        <v>60</v>
      </c>
      <c r="P49" t="s">
        <v>60</v>
      </c>
      <c r="Q49" t="s">
        <v>60</v>
      </c>
      <c r="R49" t="s">
        <v>60</v>
      </c>
      <c r="S49" t="s">
        <v>60</v>
      </c>
      <c r="T49" t="s">
        <v>40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40</v>
      </c>
      <c r="AA49" t="s">
        <v>60</v>
      </c>
      <c r="AB49" t="s">
        <v>60</v>
      </c>
      <c r="AC49" t="s">
        <v>60</v>
      </c>
      <c r="AD49" t="s">
        <v>40</v>
      </c>
      <c r="AE49" t="s">
        <v>60</v>
      </c>
    </row>
    <row r="50" spans="1:31" x14ac:dyDescent="0.25">
      <c r="A50" t="s">
        <v>241</v>
      </c>
      <c r="B50" t="s">
        <v>242</v>
      </c>
      <c r="C50" t="s">
        <v>431</v>
      </c>
      <c r="D50">
        <v>43</v>
      </c>
      <c r="E50" t="s">
        <v>32</v>
      </c>
      <c r="F50">
        <v>1</v>
      </c>
      <c r="G50" t="s">
        <v>63</v>
      </c>
      <c r="H50" t="s">
        <v>243</v>
      </c>
      <c r="I50" t="s">
        <v>432</v>
      </c>
      <c r="J50">
        <v>1142930676</v>
      </c>
      <c r="K50" t="s">
        <v>85</v>
      </c>
      <c r="L50" t="s">
        <v>218</v>
      </c>
      <c r="M50" t="s">
        <v>37</v>
      </c>
      <c r="N50" t="s">
        <v>40</v>
      </c>
      <c r="O50" t="s">
        <v>49</v>
      </c>
      <c r="P50" t="s">
        <v>60</v>
      </c>
      <c r="Q50" t="s">
        <v>40</v>
      </c>
      <c r="R50" t="s">
        <v>42</v>
      </c>
      <c r="S50" t="s">
        <v>42</v>
      </c>
      <c r="T50" t="s">
        <v>40</v>
      </c>
      <c r="U50" t="s">
        <v>39</v>
      </c>
      <c r="V50" t="s">
        <v>60</v>
      </c>
      <c r="W50" t="s">
        <v>40</v>
      </c>
      <c r="X50" t="s">
        <v>39</v>
      </c>
      <c r="Y50" t="s">
        <v>49</v>
      </c>
      <c r="Z50" t="s">
        <v>41</v>
      </c>
      <c r="AA50" t="s">
        <v>49</v>
      </c>
      <c r="AB50" t="s">
        <v>60</v>
      </c>
      <c r="AC50" t="s">
        <v>38</v>
      </c>
      <c r="AD50" t="s">
        <v>39</v>
      </c>
      <c r="AE50" t="s">
        <v>40</v>
      </c>
    </row>
    <row r="51" spans="1:31" x14ac:dyDescent="0.25">
      <c r="A51" t="s">
        <v>244</v>
      </c>
      <c r="B51" t="s">
        <v>245</v>
      </c>
      <c r="C51" t="s">
        <v>433</v>
      </c>
      <c r="D51">
        <v>43</v>
      </c>
      <c r="E51" t="s">
        <v>32</v>
      </c>
      <c r="F51">
        <v>1</v>
      </c>
      <c r="G51" t="s">
        <v>33</v>
      </c>
      <c r="H51" t="s">
        <v>246</v>
      </c>
      <c r="I51" t="s">
        <v>434</v>
      </c>
      <c r="J51">
        <v>5823202</v>
      </c>
      <c r="K51" t="s">
        <v>58</v>
      </c>
      <c r="L51">
        <v>8</v>
      </c>
      <c r="M51" t="s">
        <v>37</v>
      </c>
      <c r="N51" t="s">
        <v>60</v>
      </c>
      <c r="O51" t="s">
        <v>39</v>
      </c>
      <c r="P51" t="s">
        <v>39</v>
      </c>
      <c r="Q51" t="s">
        <v>38</v>
      </c>
      <c r="R51" t="s">
        <v>39</v>
      </c>
      <c r="S51" t="s">
        <v>39</v>
      </c>
      <c r="T51" t="s">
        <v>38</v>
      </c>
      <c r="U51" t="s">
        <v>39</v>
      </c>
      <c r="V51" t="s">
        <v>39</v>
      </c>
      <c r="W51" t="s">
        <v>38</v>
      </c>
      <c r="X51" t="s">
        <v>38</v>
      </c>
      <c r="Y51" t="s">
        <v>39</v>
      </c>
      <c r="Z51" t="s">
        <v>38</v>
      </c>
      <c r="AA51" t="s">
        <v>39</v>
      </c>
      <c r="AB51" t="s">
        <v>39</v>
      </c>
      <c r="AC51" t="s">
        <v>49</v>
      </c>
      <c r="AD51" t="s">
        <v>38</v>
      </c>
      <c r="AE51" t="s">
        <v>38</v>
      </c>
    </row>
    <row r="52" spans="1:31" x14ac:dyDescent="0.25">
      <c r="A52" t="s">
        <v>247</v>
      </c>
      <c r="B52" t="s">
        <v>248</v>
      </c>
      <c r="C52" t="s">
        <v>435</v>
      </c>
      <c r="D52">
        <v>37</v>
      </c>
      <c r="E52" t="s">
        <v>32</v>
      </c>
      <c r="F52">
        <v>1</v>
      </c>
      <c r="G52" t="s">
        <v>33</v>
      </c>
      <c r="H52" t="s">
        <v>249</v>
      </c>
      <c r="I52" t="s">
        <v>436</v>
      </c>
      <c r="J52">
        <v>6044907</v>
      </c>
      <c r="K52" t="s">
        <v>250</v>
      </c>
      <c r="L52" t="s">
        <v>130</v>
      </c>
      <c r="M52" t="s">
        <v>37</v>
      </c>
      <c r="N52" t="s">
        <v>39</v>
      </c>
      <c r="O52" t="s">
        <v>39</v>
      </c>
      <c r="P52" t="s">
        <v>39</v>
      </c>
      <c r="Q52" t="s">
        <v>39</v>
      </c>
      <c r="R52" t="s">
        <v>38</v>
      </c>
      <c r="S52" t="s">
        <v>39</v>
      </c>
      <c r="T52" t="s">
        <v>38</v>
      </c>
      <c r="U52" t="s">
        <v>38</v>
      </c>
      <c r="V52" t="s">
        <v>39</v>
      </c>
      <c r="W52" t="s">
        <v>38</v>
      </c>
      <c r="X52" t="s">
        <v>39</v>
      </c>
      <c r="Y52" t="s">
        <v>39</v>
      </c>
      <c r="Z52" t="s">
        <v>38</v>
      </c>
      <c r="AA52" t="s">
        <v>39</v>
      </c>
      <c r="AB52" t="s">
        <v>39</v>
      </c>
      <c r="AC52" t="s">
        <v>39</v>
      </c>
      <c r="AD52" t="s">
        <v>38</v>
      </c>
      <c r="AE52" t="s">
        <v>38</v>
      </c>
    </row>
    <row r="53" spans="1:31" x14ac:dyDescent="0.25">
      <c r="A53" t="s">
        <v>251</v>
      </c>
      <c r="B53" t="s">
        <v>252</v>
      </c>
      <c r="C53" t="s">
        <v>437</v>
      </c>
      <c r="D53">
        <v>40</v>
      </c>
      <c r="E53" t="s">
        <v>32</v>
      </c>
      <c r="F53">
        <v>2</v>
      </c>
      <c r="G53" t="s">
        <v>63</v>
      </c>
      <c r="H53" t="s">
        <v>253</v>
      </c>
      <c r="I53" t="s">
        <v>438</v>
      </c>
      <c r="J53">
        <v>1043989522</v>
      </c>
      <c r="K53" t="s">
        <v>254</v>
      </c>
      <c r="L53" t="s">
        <v>107</v>
      </c>
      <c r="M53" t="s">
        <v>37</v>
      </c>
      <c r="N53" t="s">
        <v>60</v>
      </c>
      <c r="O53" t="s">
        <v>38</v>
      </c>
      <c r="P53" t="s">
        <v>60</v>
      </c>
      <c r="Q53" t="s">
        <v>39</v>
      </c>
      <c r="R53" t="s">
        <v>42</v>
      </c>
      <c r="S53" t="s">
        <v>49</v>
      </c>
      <c r="T53" t="s">
        <v>39</v>
      </c>
      <c r="U53" t="s">
        <v>60</v>
      </c>
      <c r="V53" t="s">
        <v>60</v>
      </c>
      <c r="W53" t="s">
        <v>40</v>
      </c>
      <c r="X53" t="s">
        <v>39</v>
      </c>
      <c r="Y53" t="s">
        <v>60</v>
      </c>
      <c r="Z53" t="s">
        <v>38</v>
      </c>
      <c r="AA53" t="s">
        <v>60</v>
      </c>
      <c r="AB53" t="s">
        <v>39</v>
      </c>
      <c r="AC53" t="s">
        <v>42</v>
      </c>
      <c r="AD53" t="s">
        <v>39</v>
      </c>
      <c r="AE53" t="s">
        <v>40</v>
      </c>
    </row>
    <row r="54" spans="1:31" x14ac:dyDescent="0.25">
      <c r="A54" t="s">
        <v>255</v>
      </c>
      <c r="B54" t="s">
        <v>256</v>
      </c>
      <c r="C54" t="s">
        <v>439</v>
      </c>
      <c r="D54">
        <v>54</v>
      </c>
      <c r="E54" t="s">
        <v>32</v>
      </c>
      <c r="F54">
        <v>1</v>
      </c>
      <c r="G54" t="s">
        <v>33</v>
      </c>
      <c r="H54" t="s">
        <v>257</v>
      </c>
      <c r="I54" t="s">
        <v>440</v>
      </c>
      <c r="J54">
        <v>1010199764</v>
      </c>
      <c r="K54" t="s">
        <v>258</v>
      </c>
      <c r="L54" t="s">
        <v>259</v>
      </c>
      <c r="M54" t="s">
        <v>37</v>
      </c>
      <c r="N54" t="s">
        <v>39</v>
      </c>
      <c r="O54" t="s">
        <v>39</v>
      </c>
      <c r="P54" t="s">
        <v>42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39</v>
      </c>
    </row>
    <row r="55" spans="1:31" x14ac:dyDescent="0.25">
      <c r="A55" t="s">
        <v>251</v>
      </c>
      <c r="B55" t="s">
        <v>260</v>
      </c>
      <c r="C55" t="s">
        <v>441</v>
      </c>
      <c r="D55">
        <v>40</v>
      </c>
      <c r="E55" t="s">
        <v>32</v>
      </c>
      <c r="F55">
        <v>2</v>
      </c>
      <c r="G55" t="s">
        <v>63</v>
      </c>
      <c r="H55" t="s">
        <v>261</v>
      </c>
      <c r="I55" t="s">
        <v>442</v>
      </c>
      <c r="J55">
        <v>1044001864</v>
      </c>
      <c r="K55" t="s">
        <v>254</v>
      </c>
      <c r="L55" t="s">
        <v>262</v>
      </c>
      <c r="M55" t="s">
        <v>37</v>
      </c>
      <c r="N55" t="s">
        <v>60</v>
      </c>
      <c r="O55" t="s">
        <v>60</v>
      </c>
      <c r="P55" t="s">
        <v>60</v>
      </c>
      <c r="Q55" t="s">
        <v>38</v>
      </c>
      <c r="R55" t="s">
        <v>39</v>
      </c>
      <c r="S55" t="s">
        <v>39</v>
      </c>
      <c r="T55" t="s">
        <v>39</v>
      </c>
      <c r="U55" t="s">
        <v>39</v>
      </c>
      <c r="V55" t="s">
        <v>49</v>
      </c>
      <c r="W55" t="s">
        <v>40</v>
      </c>
      <c r="X55" t="s">
        <v>39</v>
      </c>
      <c r="Y55" t="s">
        <v>60</v>
      </c>
      <c r="Z55" t="s">
        <v>42</v>
      </c>
      <c r="AA55" t="s">
        <v>60</v>
      </c>
      <c r="AB55" t="s">
        <v>60</v>
      </c>
      <c r="AC55" t="s">
        <v>40</v>
      </c>
      <c r="AD55" t="s">
        <v>39</v>
      </c>
      <c r="AE55" t="s">
        <v>40</v>
      </c>
    </row>
    <row r="56" spans="1:31" x14ac:dyDescent="0.25">
      <c r="A56" t="s">
        <v>263</v>
      </c>
      <c r="B56" t="s">
        <v>264</v>
      </c>
      <c r="C56" t="s">
        <v>443</v>
      </c>
      <c r="D56">
        <v>38</v>
      </c>
      <c r="E56" t="s">
        <v>32</v>
      </c>
      <c r="F56">
        <v>2</v>
      </c>
      <c r="G56" t="s">
        <v>33</v>
      </c>
      <c r="H56" t="s">
        <v>265</v>
      </c>
      <c r="I56" t="s">
        <v>444</v>
      </c>
      <c r="J56">
        <v>1201225529</v>
      </c>
      <c r="K56" t="s">
        <v>266</v>
      </c>
      <c r="L56" t="s">
        <v>130</v>
      </c>
      <c r="M56" t="s">
        <v>37</v>
      </c>
      <c r="N56" t="s">
        <v>38</v>
      </c>
      <c r="O56" t="s">
        <v>38</v>
      </c>
      <c r="P56" t="s">
        <v>60</v>
      </c>
      <c r="Q56" t="s">
        <v>41</v>
      </c>
      <c r="R56" t="s">
        <v>40</v>
      </c>
      <c r="S56" t="s">
        <v>40</v>
      </c>
      <c r="T56" t="s">
        <v>38</v>
      </c>
      <c r="U56" t="s">
        <v>40</v>
      </c>
      <c r="V56" t="s">
        <v>38</v>
      </c>
      <c r="W56" t="s">
        <v>38</v>
      </c>
      <c r="X56" t="s">
        <v>38</v>
      </c>
      <c r="Y56" t="s">
        <v>39</v>
      </c>
      <c r="Z56" t="s">
        <v>38</v>
      </c>
      <c r="AA56" t="s">
        <v>38</v>
      </c>
      <c r="AB56" t="s">
        <v>60</v>
      </c>
      <c r="AC56" t="s">
        <v>60</v>
      </c>
      <c r="AD56" t="s">
        <v>38</v>
      </c>
      <c r="AE56" t="s">
        <v>40</v>
      </c>
    </row>
    <row r="57" spans="1:31" x14ac:dyDescent="0.25">
      <c r="A57" t="s">
        <v>267</v>
      </c>
      <c r="B57" t="s">
        <v>268</v>
      </c>
      <c r="C57" t="s">
        <v>445</v>
      </c>
      <c r="D57">
        <v>44</v>
      </c>
      <c r="E57" t="s">
        <v>32</v>
      </c>
      <c r="F57">
        <v>2</v>
      </c>
      <c r="G57" t="s">
        <v>63</v>
      </c>
      <c r="H57" t="s">
        <v>269</v>
      </c>
      <c r="I57" t="s">
        <v>446</v>
      </c>
      <c r="J57">
        <v>1201221731</v>
      </c>
      <c r="K57" t="s">
        <v>199</v>
      </c>
      <c r="L57" t="s">
        <v>270</v>
      </c>
      <c r="M57" t="s">
        <v>37</v>
      </c>
      <c r="N57" t="s">
        <v>40</v>
      </c>
      <c r="O57" t="s">
        <v>42</v>
      </c>
      <c r="P57" t="s">
        <v>60</v>
      </c>
      <c r="Q57" t="s">
        <v>40</v>
      </c>
      <c r="R57" t="s">
        <v>42</v>
      </c>
      <c r="S57" t="s">
        <v>60</v>
      </c>
      <c r="T57" t="s">
        <v>40</v>
      </c>
      <c r="U57" t="s">
        <v>42</v>
      </c>
      <c r="V57" t="s">
        <v>60</v>
      </c>
      <c r="W57" t="s">
        <v>40</v>
      </c>
      <c r="X57" t="s">
        <v>39</v>
      </c>
      <c r="Y57" t="s">
        <v>39</v>
      </c>
      <c r="Z57" t="s">
        <v>40</v>
      </c>
      <c r="AA57" t="s">
        <v>42</v>
      </c>
      <c r="AB57" t="s">
        <v>60</v>
      </c>
      <c r="AC57" t="s">
        <v>40</v>
      </c>
      <c r="AD57" t="s">
        <v>42</v>
      </c>
      <c r="AE57" t="s">
        <v>40</v>
      </c>
    </row>
    <row r="58" spans="1:31" x14ac:dyDescent="0.25">
      <c r="A58" t="s">
        <v>271</v>
      </c>
      <c r="B58" t="s">
        <v>272</v>
      </c>
      <c r="C58" t="s">
        <v>447</v>
      </c>
      <c r="D58">
        <v>14</v>
      </c>
      <c r="E58" t="s">
        <v>32</v>
      </c>
      <c r="F58">
        <v>1</v>
      </c>
      <c r="G58" t="s">
        <v>33</v>
      </c>
      <c r="H58" t="s">
        <v>272</v>
      </c>
      <c r="I58" t="s">
        <v>447</v>
      </c>
      <c r="J58">
        <v>104746020074</v>
      </c>
      <c r="K58" t="s">
        <v>85</v>
      </c>
      <c r="L58" t="s">
        <v>80</v>
      </c>
      <c r="M58" t="s">
        <v>37</v>
      </c>
      <c r="N58" t="s">
        <v>40</v>
      </c>
      <c r="O58" t="s">
        <v>42</v>
      </c>
      <c r="P58" t="s">
        <v>39</v>
      </c>
      <c r="Q58" t="s">
        <v>40</v>
      </c>
      <c r="R58" t="s">
        <v>38</v>
      </c>
      <c r="S58" t="s">
        <v>49</v>
      </c>
      <c r="T58" t="s">
        <v>41</v>
      </c>
      <c r="U58" t="s">
        <v>42</v>
      </c>
      <c r="V58" t="s">
        <v>39</v>
      </c>
      <c r="W58" t="s">
        <v>38</v>
      </c>
      <c r="X58" t="s">
        <v>39</v>
      </c>
      <c r="Y58" t="s">
        <v>39</v>
      </c>
      <c r="Z58" t="s">
        <v>42</v>
      </c>
      <c r="AA58" t="s">
        <v>39</v>
      </c>
      <c r="AB58" t="s">
        <v>49</v>
      </c>
      <c r="AC58" t="s">
        <v>49</v>
      </c>
      <c r="AD58" t="s">
        <v>42</v>
      </c>
      <c r="AE58" t="s">
        <v>40</v>
      </c>
    </row>
    <row r="59" spans="1:31" x14ac:dyDescent="0.25">
      <c r="A59" t="s">
        <v>273</v>
      </c>
      <c r="B59" t="s">
        <v>274</v>
      </c>
      <c r="C59" t="s">
        <v>448</v>
      </c>
      <c r="D59">
        <v>40</v>
      </c>
      <c r="E59" t="s">
        <v>32</v>
      </c>
      <c r="F59">
        <v>1</v>
      </c>
      <c r="G59" t="s">
        <v>33</v>
      </c>
      <c r="H59" t="s">
        <v>275</v>
      </c>
      <c r="I59" t="s">
        <v>449</v>
      </c>
      <c r="J59">
        <v>1137530680</v>
      </c>
      <c r="K59" t="s">
        <v>276</v>
      </c>
      <c r="L59" t="s">
        <v>277</v>
      </c>
      <c r="M59" t="s">
        <v>37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42</v>
      </c>
      <c r="T59" t="s">
        <v>38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</row>
    <row r="60" spans="1:31" x14ac:dyDescent="0.25">
      <c r="A60" t="s">
        <v>278</v>
      </c>
      <c r="B60" t="s">
        <v>279</v>
      </c>
      <c r="C60" t="s">
        <v>450</v>
      </c>
      <c r="D60">
        <v>46</v>
      </c>
      <c r="E60" t="s">
        <v>32</v>
      </c>
      <c r="F60">
        <v>1</v>
      </c>
      <c r="G60" t="s">
        <v>33</v>
      </c>
      <c r="H60" t="s">
        <v>280</v>
      </c>
      <c r="I60" t="s">
        <v>451</v>
      </c>
      <c r="J60">
        <v>1043986527</v>
      </c>
      <c r="K60" t="s">
        <v>281</v>
      </c>
      <c r="L60" t="s">
        <v>282</v>
      </c>
      <c r="M60" t="s">
        <v>37</v>
      </c>
      <c r="N60" t="s">
        <v>40</v>
      </c>
      <c r="O60" t="s">
        <v>60</v>
      </c>
      <c r="P60" t="s">
        <v>60</v>
      </c>
      <c r="Q60" t="s">
        <v>40</v>
      </c>
      <c r="R60" t="s">
        <v>60</v>
      </c>
      <c r="S60" t="s">
        <v>60</v>
      </c>
      <c r="T60" t="s">
        <v>42</v>
      </c>
      <c r="U60" t="s">
        <v>49</v>
      </c>
      <c r="V60" t="s">
        <v>60</v>
      </c>
      <c r="W60" t="s">
        <v>40</v>
      </c>
      <c r="X60" t="s">
        <v>42</v>
      </c>
      <c r="Y60" t="s">
        <v>60</v>
      </c>
      <c r="Z60" t="s">
        <v>41</v>
      </c>
      <c r="AA60" t="s">
        <v>49</v>
      </c>
      <c r="AB60" t="s">
        <v>49</v>
      </c>
      <c r="AC60" t="s">
        <v>42</v>
      </c>
      <c r="AD60" t="s">
        <v>39</v>
      </c>
      <c r="AE60" t="s">
        <v>41</v>
      </c>
    </row>
    <row r="61" spans="1:31" x14ac:dyDescent="0.25">
      <c r="A61" t="s">
        <v>283</v>
      </c>
      <c r="B61" t="s">
        <v>284</v>
      </c>
      <c r="C61" t="s">
        <v>452</v>
      </c>
      <c r="D61">
        <v>36</v>
      </c>
      <c r="E61" t="s">
        <v>32</v>
      </c>
      <c r="F61">
        <v>1</v>
      </c>
      <c r="G61" t="s">
        <v>33</v>
      </c>
      <c r="H61" t="s">
        <v>285</v>
      </c>
      <c r="I61" t="s">
        <v>453</v>
      </c>
      <c r="J61">
        <v>1143367733</v>
      </c>
      <c r="K61" t="s">
        <v>286</v>
      </c>
      <c r="L61" t="s">
        <v>270</v>
      </c>
      <c r="M61" t="s">
        <v>37</v>
      </c>
      <c r="N61" t="s">
        <v>40</v>
      </c>
      <c r="O61" t="s">
        <v>60</v>
      </c>
      <c r="P61" t="s">
        <v>39</v>
      </c>
      <c r="Q61" t="s">
        <v>38</v>
      </c>
      <c r="R61" t="s">
        <v>39</v>
      </c>
      <c r="S61" t="s">
        <v>39</v>
      </c>
      <c r="T61" t="s">
        <v>38</v>
      </c>
      <c r="U61" t="s">
        <v>49</v>
      </c>
      <c r="V61" t="s">
        <v>39</v>
      </c>
      <c r="W61" t="s">
        <v>38</v>
      </c>
      <c r="X61" t="s">
        <v>38</v>
      </c>
      <c r="Y61" t="s">
        <v>39</v>
      </c>
      <c r="Z61" t="s">
        <v>38</v>
      </c>
      <c r="AA61" t="s">
        <v>39</v>
      </c>
      <c r="AB61" t="s">
        <v>39</v>
      </c>
      <c r="AC61" t="s">
        <v>38</v>
      </c>
      <c r="AD61" t="s">
        <v>39</v>
      </c>
      <c r="AE61" t="s">
        <v>60</v>
      </c>
    </row>
    <row r="62" spans="1:31" x14ac:dyDescent="0.25">
      <c r="A62" t="s">
        <v>287</v>
      </c>
      <c r="B62" t="s">
        <v>288</v>
      </c>
      <c r="C62" t="s">
        <v>454</v>
      </c>
      <c r="D62">
        <v>48</v>
      </c>
      <c r="E62" t="s">
        <v>32</v>
      </c>
      <c r="F62">
        <v>1</v>
      </c>
      <c r="G62" t="s">
        <v>155</v>
      </c>
      <c r="H62" t="s">
        <v>289</v>
      </c>
      <c r="I62" t="s">
        <v>455</v>
      </c>
      <c r="J62">
        <v>1043984914</v>
      </c>
      <c r="K62" t="s">
        <v>290</v>
      </c>
      <c r="L62">
        <v>903</v>
      </c>
      <c r="M62" t="s">
        <v>37</v>
      </c>
      <c r="N62" t="s">
        <v>40</v>
      </c>
      <c r="O62" t="s">
        <v>42</v>
      </c>
      <c r="P62" t="s">
        <v>38</v>
      </c>
      <c r="Q62" t="s">
        <v>40</v>
      </c>
      <c r="R62" t="s">
        <v>39</v>
      </c>
      <c r="S62" t="s">
        <v>42</v>
      </c>
      <c r="T62" t="s">
        <v>39</v>
      </c>
      <c r="U62" t="s">
        <v>39</v>
      </c>
      <c r="V62" t="s">
        <v>42</v>
      </c>
      <c r="W62" t="s">
        <v>38</v>
      </c>
      <c r="X62" t="s">
        <v>42</v>
      </c>
      <c r="Y62" t="s">
        <v>42</v>
      </c>
      <c r="Z62" t="s">
        <v>42</v>
      </c>
      <c r="AA62" t="s">
        <v>39</v>
      </c>
      <c r="AB62" t="s">
        <v>42</v>
      </c>
      <c r="AC62" t="s">
        <v>42</v>
      </c>
      <c r="AD62" t="s">
        <v>38</v>
      </c>
      <c r="AE62" t="s">
        <v>42</v>
      </c>
    </row>
    <row r="63" spans="1:31" x14ac:dyDescent="0.25">
      <c r="A63" t="s">
        <v>291</v>
      </c>
      <c r="B63" t="s">
        <v>292</v>
      </c>
      <c r="C63" t="s">
        <v>456</v>
      </c>
      <c r="D63">
        <v>47</v>
      </c>
      <c r="E63" t="s">
        <v>32</v>
      </c>
      <c r="F63">
        <v>1</v>
      </c>
      <c r="G63" t="s">
        <v>33</v>
      </c>
      <c r="H63" t="s">
        <v>293</v>
      </c>
      <c r="I63" t="s">
        <v>457</v>
      </c>
      <c r="J63" t="s">
        <v>294</v>
      </c>
      <c r="K63" t="s">
        <v>295</v>
      </c>
      <c r="L63" t="s">
        <v>178</v>
      </c>
      <c r="M63" t="s">
        <v>37</v>
      </c>
      <c r="N63" t="s">
        <v>40</v>
      </c>
      <c r="O63" t="s">
        <v>42</v>
      </c>
      <c r="P63" t="s">
        <v>39</v>
      </c>
      <c r="Q63" t="s">
        <v>40</v>
      </c>
      <c r="R63" t="s">
        <v>40</v>
      </c>
      <c r="S63" t="s">
        <v>39</v>
      </c>
      <c r="T63" t="s">
        <v>40</v>
      </c>
      <c r="U63" t="s">
        <v>39</v>
      </c>
      <c r="V63" t="s">
        <v>39</v>
      </c>
      <c r="W63" t="s">
        <v>40</v>
      </c>
      <c r="X63" t="s">
        <v>39</v>
      </c>
      <c r="Y63" t="s">
        <v>39</v>
      </c>
      <c r="Z63" t="s">
        <v>40</v>
      </c>
      <c r="AA63" t="s">
        <v>39</v>
      </c>
      <c r="AB63" t="s">
        <v>39</v>
      </c>
      <c r="AC63" t="s">
        <v>40</v>
      </c>
      <c r="AD63" t="s">
        <v>39</v>
      </c>
      <c r="AE63" t="s">
        <v>40</v>
      </c>
    </row>
    <row r="64" spans="1:31" x14ac:dyDescent="0.25">
      <c r="A64" t="s">
        <v>296</v>
      </c>
      <c r="B64" t="s">
        <v>297</v>
      </c>
      <c r="C64" t="s">
        <v>458</v>
      </c>
      <c r="D64" t="s">
        <v>298</v>
      </c>
      <c r="E64" t="s">
        <v>32</v>
      </c>
      <c r="F64">
        <v>1</v>
      </c>
      <c r="G64" t="s">
        <v>33</v>
      </c>
      <c r="H64" t="s">
        <v>299</v>
      </c>
      <c r="I64" t="s">
        <v>459</v>
      </c>
      <c r="J64" t="s">
        <v>300</v>
      </c>
      <c r="K64" t="s">
        <v>301</v>
      </c>
      <c r="L64" t="s">
        <v>302</v>
      </c>
      <c r="M64" t="s">
        <v>37</v>
      </c>
      <c r="N64" t="s">
        <v>39</v>
      </c>
      <c r="O64" t="s">
        <v>49</v>
      </c>
      <c r="P64" t="s">
        <v>39</v>
      </c>
      <c r="Q64" t="s">
        <v>38</v>
      </c>
      <c r="R64" t="s">
        <v>38</v>
      </c>
      <c r="S64" t="s">
        <v>39</v>
      </c>
      <c r="T64" t="s">
        <v>39</v>
      </c>
      <c r="U64" t="s">
        <v>38</v>
      </c>
      <c r="V64" t="s">
        <v>39</v>
      </c>
      <c r="W64" t="s">
        <v>38</v>
      </c>
      <c r="X64" t="s">
        <v>39</v>
      </c>
      <c r="Y64" t="s">
        <v>38</v>
      </c>
      <c r="Z64" t="s">
        <v>38</v>
      </c>
      <c r="AA64" t="s">
        <v>39</v>
      </c>
      <c r="AB64" t="s">
        <v>39</v>
      </c>
      <c r="AC64" t="s">
        <v>39</v>
      </c>
      <c r="AD64" t="s">
        <v>38</v>
      </c>
      <c r="AE64" t="s">
        <v>39</v>
      </c>
    </row>
    <row r="65" spans="1:31" x14ac:dyDescent="0.25">
      <c r="A65" t="s">
        <v>303</v>
      </c>
      <c r="B65" t="s">
        <v>304</v>
      </c>
      <c r="C65" t="s">
        <v>460</v>
      </c>
      <c r="D65" t="s">
        <v>305</v>
      </c>
      <c r="E65" t="s">
        <v>32</v>
      </c>
      <c r="F65">
        <v>1</v>
      </c>
      <c r="G65" t="s">
        <v>33</v>
      </c>
      <c r="H65" t="s">
        <v>306</v>
      </c>
      <c r="I65" t="s">
        <v>461</v>
      </c>
      <c r="J65">
        <v>1047507086</v>
      </c>
      <c r="K65" t="s">
        <v>307</v>
      </c>
      <c r="L65" t="s">
        <v>308</v>
      </c>
      <c r="M65" t="s">
        <v>37</v>
      </c>
      <c r="N65" t="s">
        <v>39</v>
      </c>
      <c r="O65" t="s">
        <v>60</v>
      </c>
      <c r="P65" t="s">
        <v>39</v>
      </c>
      <c r="Q65" t="s">
        <v>39</v>
      </c>
      <c r="R65" t="s">
        <v>60</v>
      </c>
      <c r="S65" t="s">
        <v>49</v>
      </c>
      <c r="T65" t="s">
        <v>39</v>
      </c>
      <c r="U65" t="s">
        <v>60</v>
      </c>
      <c r="V65" t="s">
        <v>60</v>
      </c>
      <c r="W65" t="s">
        <v>40</v>
      </c>
      <c r="X65" t="s">
        <v>49</v>
      </c>
      <c r="Y65" t="s">
        <v>39</v>
      </c>
      <c r="Z65" t="s">
        <v>39</v>
      </c>
      <c r="AA65" t="s">
        <v>49</v>
      </c>
      <c r="AB65" t="s">
        <v>39</v>
      </c>
      <c r="AC65" t="s">
        <v>39</v>
      </c>
      <c r="AD65" t="s">
        <v>38</v>
      </c>
      <c r="AE65" t="s">
        <v>39</v>
      </c>
    </row>
    <row r="66" spans="1:31" x14ac:dyDescent="0.25">
      <c r="A66" t="s">
        <v>309</v>
      </c>
      <c r="B66" t="s">
        <v>310</v>
      </c>
      <c r="C66" t="s">
        <v>462</v>
      </c>
      <c r="D66">
        <v>41</v>
      </c>
      <c r="E66" t="s">
        <v>32</v>
      </c>
      <c r="F66">
        <v>1</v>
      </c>
      <c r="G66" t="s">
        <v>46</v>
      </c>
      <c r="H66" t="s">
        <v>311</v>
      </c>
      <c r="I66" t="s">
        <v>463</v>
      </c>
      <c r="J66">
        <v>1201219915</v>
      </c>
      <c r="K66" t="s">
        <v>312</v>
      </c>
      <c r="L66">
        <v>903</v>
      </c>
      <c r="M66" t="s">
        <v>37</v>
      </c>
      <c r="N66" t="s">
        <v>38</v>
      </c>
      <c r="O66" t="s">
        <v>39</v>
      </c>
      <c r="P66" t="s">
        <v>39</v>
      </c>
      <c r="Q66" t="s">
        <v>40</v>
      </c>
      <c r="R66" t="s">
        <v>39</v>
      </c>
      <c r="S66" t="s">
        <v>39</v>
      </c>
      <c r="T66" t="s">
        <v>38</v>
      </c>
      <c r="U66" t="s">
        <v>39</v>
      </c>
      <c r="V66" t="s">
        <v>39</v>
      </c>
      <c r="W66" t="s">
        <v>38</v>
      </c>
      <c r="X66" t="s">
        <v>39</v>
      </c>
      <c r="Y66" t="s">
        <v>39</v>
      </c>
      <c r="Z66" t="s">
        <v>38</v>
      </c>
      <c r="AA66" t="s">
        <v>49</v>
      </c>
      <c r="AB66" t="s">
        <v>60</v>
      </c>
      <c r="AC66" t="s">
        <v>38</v>
      </c>
      <c r="AD66" t="s">
        <v>39</v>
      </c>
      <c r="AE6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ramirez cortazar</cp:lastModifiedBy>
  <dcterms:modified xsi:type="dcterms:W3CDTF">2025-09-30T16:06:01Z</dcterms:modified>
</cp:coreProperties>
</file>